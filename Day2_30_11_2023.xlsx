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bhi\Desktop\My_Journey_to_Data Analyst\Excel Practice_FreeCodeCamp\"/>
    </mc:Choice>
  </mc:AlternateContent>
  <xr:revisionPtr revIDLastSave="0" documentId="13_ncr:1_{2169A93F-7792-4BA9-A99A-EA329A18DA3A}" xr6:coauthVersionLast="47" xr6:coauthVersionMax="47" xr10:uidLastSave="{00000000-0000-0000-0000-000000000000}"/>
  <bookViews>
    <workbookView xWindow="-110" yWindow="-110" windowWidth="19420" windowHeight="10300" activeTab="2" xr2:uid="{E28802E9-8689-4CD3-9965-A785AEF11D98}"/>
  </bookViews>
  <sheets>
    <sheet name="School Shopping" sheetId="1" r:id="rId1"/>
    <sheet name="Cat Vs Dog" sheetId="2" r:id="rId2"/>
    <sheet name="Vaca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3" l="1"/>
  <c r="D33" i="3" s="1"/>
  <c r="E21" i="3"/>
  <c r="E33" i="3" s="1"/>
  <c r="C21" i="3"/>
  <c r="C33" i="3" s="1"/>
  <c r="D20" i="3"/>
  <c r="D32" i="3" s="1"/>
  <c r="E20" i="3"/>
  <c r="E32" i="3" s="1"/>
  <c r="C20" i="3"/>
  <c r="C32" i="3" s="1"/>
  <c r="D19" i="3"/>
  <c r="E19" i="3"/>
  <c r="C19" i="3"/>
  <c r="D9" i="3"/>
  <c r="D18" i="3" s="1"/>
  <c r="D31" i="3" s="1"/>
  <c r="E9" i="3"/>
  <c r="E18" i="3" s="1"/>
  <c r="E31" i="3" s="1"/>
  <c r="C9" i="3"/>
  <c r="C18" i="3" s="1"/>
  <c r="C16" i="2"/>
  <c r="C17" i="2" s="1"/>
  <c r="C19" i="2" s="1"/>
  <c r="B16" i="2"/>
  <c r="B17" i="2" s="1"/>
  <c r="C10" i="2"/>
  <c r="B10" i="2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G21" i="1"/>
  <c r="H21" i="1"/>
  <c r="F21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4" i="1"/>
  <c r="C22" i="3" l="1"/>
  <c r="C34" i="3" s="1"/>
  <c r="D22" i="3"/>
  <c r="D34" i="3" s="1"/>
  <c r="E22" i="3"/>
  <c r="E34" i="3" s="1"/>
  <c r="E35" i="3" s="1"/>
  <c r="C31" i="3"/>
  <c r="C35" i="3"/>
  <c r="D35" i="3"/>
  <c r="B19" i="2"/>
  <c r="F40" i="1"/>
  <c r="H40" i="1"/>
  <c r="G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Surabhi</author>
  </authors>
  <commentList>
    <comment ref="A17" authorId="0" shapeId="0" xr:uid="{A045E60B-60F8-4902-B80B-46DCA9A16A0E}">
      <text>
        <r>
          <rPr>
            <b/>
            <sz val="9"/>
            <color indexed="81"/>
            <rFont val="Tahoma"/>
            <family val="2"/>
          </rPr>
          <t>Surabhi:</t>
        </r>
        <r>
          <rPr>
            <sz val="9"/>
            <color indexed="81"/>
            <rFont val="Tahoma"/>
            <family val="2"/>
          </rPr>
          <t xml:space="preserve">
qty 2 each month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Surabhi</author>
  </authors>
  <commentList>
    <comment ref="A18" authorId="0" shapeId="0" xr:uid="{4EF2823D-4881-4C58-949E-51DC1C06D753}">
      <text>
        <r>
          <rPr>
            <b/>
            <sz val="9"/>
            <color indexed="81"/>
            <rFont val="Tahoma"/>
            <charset val="1"/>
          </rPr>
          <t>Surabhi:</t>
        </r>
        <r>
          <rPr>
            <sz val="9"/>
            <color indexed="81"/>
            <rFont val="Tahoma"/>
            <charset val="1"/>
          </rPr>
          <t xml:space="preserve">
for 2 people total</t>
        </r>
      </text>
    </comment>
    <comment ref="A19" authorId="0" shapeId="0" xr:uid="{B25B0D96-C608-4B42-955A-B3A8586BA06B}">
      <text>
        <r>
          <rPr>
            <b/>
            <sz val="9"/>
            <color indexed="81"/>
            <rFont val="Tahoma"/>
            <charset val="1"/>
          </rPr>
          <t>Surabhi:</t>
        </r>
        <r>
          <rPr>
            <sz val="9"/>
            <color indexed="81"/>
            <rFont val="Tahoma"/>
            <charset val="1"/>
          </rPr>
          <t xml:space="preserve">
for 5 nights 4 days</t>
        </r>
      </text>
    </comment>
    <comment ref="A32" authorId="0" shapeId="0" xr:uid="{3D2CA67E-3DBF-4AFB-BA76-65D60A013B26}">
      <text>
        <r>
          <rPr>
            <b/>
            <sz val="9"/>
            <color indexed="81"/>
            <rFont val="Tahoma"/>
            <charset val="1"/>
          </rPr>
          <t>Surabhi:</t>
        </r>
        <r>
          <rPr>
            <sz val="9"/>
            <color indexed="81"/>
            <rFont val="Tahoma"/>
            <charset val="1"/>
          </rPr>
          <t xml:space="preserve">
for 5 nights 4 days</t>
        </r>
      </text>
    </comment>
  </commentList>
</comments>
</file>

<file path=xl/sharedStrings.xml><?xml version="1.0" encoding="utf-8"?>
<sst xmlns="http://schemas.openxmlformats.org/spreadsheetml/2006/main" count="103" uniqueCount="63">
  <si>
    <t>Susan's Shopping List</t>
  </si>
  <si>
    <t>Ball Point Pens</t>
  </si>
  <si>
    <t>TI-35 Calculator</t>
  </si>
  <si>
    <t>100 page notebooks</t>
  </si>
  <si>
    <t>bottle of 8 oz Glue</t>
  </si>
  <si>
    <t>rolls of clear tape</t>
  </si>
  <si>
    <t>Erasers</t>
  </si>
  <si>
    <t>No. 2 Pencils</t>
  </si>
  <si>
    <t>2 inch binders</t>
  </si>
  <si>
    <t>USB Stick 5gb</t>
  </si>
  <si>
    <t>Stapler</t>
  </si>
  <si>
    <t>Planner Book</t>
  </si>
  <si>
    <t>Protractor</t>
  </si>
  <si>
    <t>Compass</t>
  </si>
  <si>
    <t>Bottle Liquid Paper</t>
  </si>
  <si>
    <t>Walt-Mart</t>
  </si>
  <si>
    <t>Dollar Trap</t>
  </si>
  <si>
    <t>Office Repo</t>
  </si>
  <si>
    <t>Ball Point Pen</t>
  </si>
  <si>
    <t>box of 8 Color Markers</t>
  </si>
  <si>
    <t>No. of items she needs</t>
  </si>
  <si>
    <t>Total</t>
  </si>
  <si>
    <t>Susan Should buy things from Walt-Mart</t>
  </si>
  <si>
    <t>Conclusion:</t>
  </si>
  <si>
    <t>Tim’s Shopping List</t>
  </si>
  <si>
    <t>bottles of 8 oz Glue</t>
  </si>
  <si>
    <t>No. of items he needs</t>
  </si>
  <si>
    <t>Tim Should buy things from Dollar Trap</t>
  </si>
  <si>
    <t>Cat</t>
  </si>
  <si>
    <t>Dog</t>
  </si>
  <si>
    <t>Collar</t>
  </si>
  <si>
    <t>Food and water bowl</t>
  </si>
  <si>
    <t>Leash</t>
  </si>
  <si>
    <t>Intial Cost</t>
  </si>
  <si>
    <t>Purchase of Pet</t>
  </si>
  <si>
    <t>ID Tag</t>
  </si>
  <si>
    <t>Initial total</t>
  </si>
  <si>
    <t>Monthly</t>
  </si>
  <si>
    <t>Food</t>
  </si>
  <si>
    <t>Litter</t>
  </si>
  <si>
    <t>Treats</t>
  </si>
  <si>
    <t>Subtotal</t>
  </si>
  <si>
    <t>Monthly total</t>
  </si>
  <si>
    <t>One Year Costs</t>
  </si>
  <si>
    <t>Expense per year on pet</t>
  </si>
  <si>
    <t>Caribbean Cruise</t>
  </si>
  <si>
    <t>Orlando Theme Parks</t>
  </si>
  <si>
    <t>Chicago Museum Tour</t>
  </si>
  <si>
    <t>Air fare tickets</t>
  </si>
  <si>
    <t>Initial cost (per person)</t>
  </si>
  <si>
    <t>Initial cost total</t>
  </si>
  <si>
    <t>Car rental/day</t>
  </si>
  <si>
    <t>Hotel/night</t>
  </si>
  <si>
    <t>Susan</t>
  </si>
  <si>
    <t>Tim</t>
  </si>
  <si>
    <t>person initial total cost</t>
  </si>
  <si>
    <t>days car rental cost</t>
  </si>
  <si>
    <t>nights hotel stay cost</t>
  </si>
  <si>
    <t>Food estimates/person/day</t>
  </si>
  <si>
    <t>person food estimates per day</t>
  </si>
  <si>
    <t>Total Travel Cost</t>
  </si>
  <si>
    <t>Variable Cost</t>
  </si>
  <si>
    <t>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</si>
</sst>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4" fontId="0" fillId="2" borderId="0" xfId="0" applyNumberFormat="1" applyFill="1"/>
    <xf numFmtId="164" fontId="0" fillId="0" borderId="0" xfId="0" applyNumberFormat="1" applyFill="1"/>
    <xf numFmtId="0" fontId="0" fillId="0" borderId="0" xfId="0" applyAlignment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0" fillId="3" borderId="0" xfId="0" applyFill="1"/>
    <xf numFmtId="164" fontId="0" fillId="3" borderId="0" xfId="0" applyNumberFormat="1" applyFill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0" fontId="2" fillId="0" borderId="0" xfId="0" applyFont="1" applyAlignment="1">
      <alignment wrapText="1"/>
    </xf>
    <xf numFmtId="0" fontId="0" fillId="5" borderId="1" xfId="0" applyFill="1" applyBorder="1"/>
    <xf numFmtId="164" fontId="0" fillId="5" borderId="1" xfId="0" applyNumberFormat="1" applyFill="1" applyBorder="1"/>
    <xf numFmtId="0" fontId="1" fillId="5" borderId="1" xfId="0" applyFont="1" applyFill="1" applyBorder="1" applyAlignment="1">
      <alignment wrapText="1"/>
    </xf>
    <xf numFmtId="0" fontId="0" fillId="6" borderId="1" xfId="0" applyFill="1" applyBorder="1"/>
    <xf numFmtId="164" fontId="0" fillId="6" borderId="1" xfId="0" applyNumberFormat="1" applyFill="1" applyBorder="1"/>
    <xf numFmtId="0" fontId="1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From</a:t>
            </a:r>
            <a:r>
              <a:rPr lang="en-IN" baseline="0"/>
              <a:t> which store Susan should buy?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'School Shopping'!$F$20:$H$20</c:f>
              <c:strCache>
                <c:ptCount val="3"/>
                <c:pt idx="0">
                  <c:v>Walt-Mart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'School Shopping'!$F$21:$H$21</c:f>
              <c:numCache>
                <c:formatCode>_-[$$-409]* #,##0.00_ ;_-[$$-409]* \-#,##0.00\ ;_-[$$-409]* "-"??_ ;_-@_ </c:formatCode>
                <c:ptCount val="3"/>
                <c:pt idx="0">
                  <c:v>91.7</c:v>
                </c:pt>
                <c:pt idx="1">
                  <c:v>92.85</c:v>
                </c:pt>
                <c:pt idx="2">
                  <c:v>126.6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9-4679-AEE6-C10653DDE8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3432559"/>
        <c:axId val="1884493743"/>
      </c:barChart>
      <c:catAx>
        <c:axId val="188343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493743"/>
        <c:crosses val="autoZero"/>
        <c:auto val="1"/>
        <c:lblAlgn val="ctr"/>
        <c:lblOffset val="100"/>
        <c:noMultiLvlLbl val="0"/>
      </c:catAx>
      <c:valAx>
        <c:axId val="1884493743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3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From which store Tim should buy?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'School Shopping'!$F$39:$H$39</c:f>
              <c:strCache>
                <c:ptCount val="3"/>
                <c:pt idx="0">
                  <c:v>Walt-Mart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'School Shopping'!$F$40:$H$40</c:f>
              <c:numCache>
                <c:formatCode>_-[$$-409]* #,##0.00_ ;_-[$$-409]* \-#,##0.00\ ;_-[$$-409]* "-"??_ ;_-@_ </c:formatCode>
                <c:ptCount val="3"/>
                <c:pt idx="0">
                  <c:v>75.899999999999991</c:v>
                </c:pt>
                <c:pt idx="1">
                  <c:v>71.499999999999986</c:v>
                </c:pt>
                <c:pt idx="2">
                  <c:v>108.45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F-4E96-9C9D-09D8B4D79B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3432559"/>
        <c:axId val="1884493743"/>
      </c:barChart>
      <c:catAx>
        <c:axId val="188343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493743"/>
        <c:crosses val="autoZero"/>
        <c:auto val="1"/>
        <c:lblAlgn val="ctr"/>
        <c:lblOffset val="100"/>
        <c:noMultiLvlLbl val="0"/>
      </c:catAx>
      <c:valAx>
        <c:axId val="1884493743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3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 on Pet</a:t>
            </a:r>
            <a:r>
              <a:rPr lang="en-IN" baseline="0"/>
              <a:t> per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 Vs Dog'!$B$18:$C$18</c:f>
              <c:strCache>
                <c:ptCount val="2"/>
                <c:pt idx="0">
                  <c:v>Cat</c:v>
                </c:pt>
                <c:pt idx="1">
                  <c:v>Dog</c:v>
                </c:pt>
              </c:strCache>
            </c:strRef>
          </c:cat>
          <c:val>
            <c:numRef>
              <c:f>'Cat Vs Dog'!$B$19:$C$19</c:f>
              <c:numCache>
                <c:formatCode>_-[$$-409]* #,##0.00_ ;_-[$$-409]* \-#,##0.00\ ;_-[$$-409]* "-"??_ ;_-@_ </c:formatCode>
                <c:ptCount val="2"/>
                <c:pt idx="0">
                  <c:v>559.5</c:v>
                </c:pt>
                <c:pt idx="1">
                  <c:v>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8-4269-AA1A-1E07744BA7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5207295"/>
        <c:axId val="2102830191"/>
      </c:barChart>
      <c:catAx>
        <c:axId val="20252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30191"/>
        <c:crosses val="autoZero"/>
        <c:auto val="1"/>
        <c:lblAlgn val="ctr"/>
        <c:lblOffset val="100"/>
        <c:noMultiLvlLbl val="0"/>
      </c:catAx>
      <c:valAx>
        <c:axId val="2102830191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0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Travel</a:t>
            </a:r>
            <a:r>
              <a:rPr lang="en-IN" baseline="0"/>
              <a:t> Cost for Susan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Vacation!$C$17:$E$17</c:f>
              <c:strCache>
                <c:ptCount val="3"/>
                <c:pt idx="0">
                  <c:v>Caribbean Cruise</c:v>
                </c:pt>
                <c:pt idx="1">
                  <c:v>Orlando Theme Parks</c:v>
                </c:pt>
                <c:pt idx="2">
                  <c:v>Chicago Museum Tour</c:v>
                </c:pt>
              </c:strCache>
            </c:strRef>
          </c:cat>
          <c:val>
            <c:numRef>
              <c:f>Vacation!$C$22:$E$22</c:f>
              <c:numCache>
                <c:formatCode>_-[$$-409]* #,##0.00_ ;_-[$$-409]* \-#,##0.00\ ;_-[$$-409]* "-"??_ ;_-@_ </c:formatCode>
                <c:ptCount val="3"/>
                <c:pt idx="0">
                  <c:v>1810</c:v>
                </c:pt>
                <c:pt idx="1">
                  <c:v>1853</c:v>
                </c:pt>
                <c:pt idx="2">
                  <c:v>1854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4-422D-8D00-77B9BC646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5194335"/>
        <c:axId val="2102831679"/>
      </c:barChart>
      <c:catAx>
        <c:axId val="202519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31679"/>
        <c:crosses val="autoZero"/>
        <c:auto val="1"/>
        <c:lblAlgn val="ctr"/>
        <c:lblOffset val="100"/>
        <c:noMultiLvlLbl val="0"/>
      </c:catAx>
      <c:valAx>
        <c:axId val="2102831679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9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Travel</a:t>
            </a:r>
            <a:r>
              <a:rPr lang="en-IN" baseline="0"/>
              <a:t> Cost for Tim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Vacation!$C$17:$E$17</c:f>
              <c:strCache>
                <c:ptCount val="3"/>
                <c:pt idx="0">
                  <c:v>Caribbean Cruise</c:v>
                </c:pt>
                <c:pt idx="1">
                  <c:v>Orlando Theme Parks</c:v>
                </c:pt>
                <c:pt idx="2">
                  <c:v>Chicago Museum Tour</c:v>
                </c:pt>
              </c:strCache>
            </c:strRef>
          </c:cat>
          <c:val>
            <c:numRef>
              <c:f>Vacation!$C$35:$E$35</c:f>
              <c:numCache>
                <c:formatCode>_-[$$-409]* #,##0.00_ ;_-[$$-409]* \-#,##0.00\ ;_-[$$-409]* "-"??_ ;_-@_ </c:formatCode>
                <c:ptCount val="3"/>
                <c:pt idx="0">
                  <c:v>18100</c:v>
                </c:pt>
                <c:pt idx="1">
                  <c:v>18280</c:v>
                </c:pt>
                <c:pt idx="2">
                  <c:v>18620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E-4C80-A453-C94DB922FA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5194335"/>
        <c:axId val="2102831679"/>
      </c:barChart>
      <c:catAx>
        <c:axId val="202519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31679"/>
        <c:crosses val="autoZero"/>
        <c:auto val="1"/>
        <c:lblAlgn val="ctr"/>
        <c:lblOffset val="100"/>
        <c:noMultiLvlLbl val="0"/>
      </c:catAx>
      <c:valAx>
        <c:axId val="2102831679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9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396875</xdr:colOff>
      <xdr:row>2</xdr:row>
      <xdr:rowOff>288925</xdr:rowOff>
    </xdr:from>
    <xdr:to>
      <xdr:col>16</xdr:col>
      <xdr:colOff>92075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0A09E-9607-B5B8-8DC4-768AF6E65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396875</xdr:colOff>
      <xdr:row>25</xdr:row>
      <xdr:rowOff>288925</xdr:rowOff>
    </xdr:from>
    <xdr:to>
      <xdr:col>16</xdr:col>
      <xdr:colOff>92075</xdr:colOff>
      <xdr:row>40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A8F30F-19F6-4DCC-AEEC-141CF01D9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422275</xdr:colOff>
      <xdr:row>3</xdr:row>
      <xdr:rowOff>22225</xdr:rowOff>
    </xdr:from>
    <xdr:to>
      <xdr:col>11</xdr:col>
      <xdr:colOff>295275</xdr:colOff>
      <xdr:row>18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8C20EB-53B8-157B-5535-47D11F54E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568325</xdr:colOff>
      <xdr:row>15</xdr:row>
      <xdr:rowOff>66675</xdr:rowOff>
    </xdr:from>
    <xdr:to>
      <xdr:col>13</xdr:col>
      <xdr:colOff>120650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3FA5B-2EED-E688-96DD-F1E7A2841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13</xdr:col>
      <xdr:colOff>161925</xdr:colOff>
      <xdr:row>39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F28AA-66C3-4E23-BDCA-F9AB98287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0C21-B3BF-407B-A9F0-AB129EE47C9B}">
  <dimension ref="A3:K43"/>
  <sheetViews>
    <sheetView topLeftCell="C19" workbookViewId="0">
      <selection activeCell="J44" sqref="J44"/>
    </sheetView>
  </sheetViews>
  <sheetFormatPr defaultRowHeight="14.5" x14ac:dyDescent="0.35"/>
  <cols>
    <col min="1" max="1" width="21" customWidth="1"/>
    <col min="2" max="2" width="10.08984375" customWidth="1"/>
    <col min="3" max="8" width="11.453125" customWidth="1"/>
  </cols>
  <sheetData>
    <row r="3" spans="1:8" ht="29" x14ac:dyDescent="0.35">
      <c r="A3" t="s">
        <v>0</v>
      </c>
      <c r="B3" t="s">
        <v>15</v>
      </c>
      <c r="C3" t="s">
        <v>16</v>
      </c>
      <c r="D3" t="s">
        <v>17</v>
      </c>
      <c r="E3" s="3" t="s">
        <v>20</v>
      </c>
      <c r="F3" t="s">
        <v>15</v>
      </c>
      <c r="G3" t="s">
        <v>16</v>
      </c>
      <c r="H3" t="s">
        <v>17</v>
      </c>
    </row>
    <row r="4" spans="1:8" x14ac:dyDescent="0.35">
      <c r="A4" t="s">
        <v>18</v>
      </c>
      <c r="B4" s="1">
        <v>0.5</v>
      </c>
      <c r="C4" s="1">
        <v>0.4</v>
      </c>
      <c r="D4" s="1">
        <v>1.4</v>
      </c>
      <c r="E4" s="2">
        <v>3</v>
      </c>
      <c r="F4" s="1">
        <f>$E4*B4</f>
        <v>1.5</v>
      </c>
      <c r="G4" s="1">
        <f t="shared" ref="G4:H18" si="0">$E4*C4</f>
        <v>1.2000000000000002</v>
      </c>
      <c r="H4" s="1">
        <f t="shared" si="0"/>
        <v>4.1999999999999993</v>
      </c>
    </row>
    <row r="5" spans="1:8" x14ac:dyDescent="0.35">
      <c r="A5" t="s">
        <v>2</v>
      </c>
      <c r="B5" s="1">
        <v>28</v>
      </c>
      <c r="C5" s="1">
        <v>33</v>
      </c>
      <c r="D5" s="1">
        <v>31</v>
      </c>
      <c r="E5" s="2">
        <v>1</v>
      </c>
      <c r="F5" s="1">
        <f t="shared" ref="F5:F18" si="1">$E5*B5</f>
        <v>28</v>
      </c>
      <c r="G5" s="1">
        <f t="shared" si="0"/>
        <v>33</v>
      </c>
      <c r="H5" s="1">
        <f t="shared" si="0"/>
        <v>31</v>
      </c>
    </row>
    <row r="6" spans="1:8" x14ac:dyDescent="0.35">
      <c r="A6" t="s">
        <v>3</v>
      </c>
      <c r="B6" s="1">
        <v>1.8</v>
      </c>
      <c r="C6" s="1">
        <v>1</v>
      </c>
      <c r="D6" s="1">
        <v>2</v>
      </c>
      <c r="E6" s="2">
        <v>7</v>
      </c>
      <c r="F6" s="1">
        <f t="shared" si="1"/>
        <v>12.6</v>
      </c>
      <c r="G6" s="1">
        <f t="shared" si="0"/>
        <v>7</v>
      </c>
      <c r="H6" s="1">
        <f t="shared" si="0"/>
        <v>14</v>
      </c>
    </row>
    <row r="7" spans="1:8" x14ac:dyDescent="0.35">
      <c r="A7" t="s">
        <v>4</v>
      </c>
      <c r="B7" s="1">
        <v>1.2</v>
      </c>
      <c r="C7" s="1">
        <v>0.8</v>
      </c>
      <c r="D7" s="1">
        <v>1.5</v>
      </c>
      <c r="E7" s="2">
        <v>1</v>
      </c>
      <c r="F7" s="1">
        <f t="shared" si="1"/>
        <v>1.2</v>
      </c>
      <c r="G7" s="1">
        <f t="shared" si="0"/>
        <v>0.8</v>
      </c>
      <c r="H7" s="1">
        <f t="shared" si="0"/>
        <v>1.5</v>
      </c>
    </row>
    <row r="8" spans="1:8" x14ac:dyDescent="0.35">
      <c r="A8" t="s">
        <v>5</v>
      </c>
      <c r="B8" s="1">
        <v>2.4</v>
      </c>
      <c r="C8" s="1">
        <v>1.4</v>
      </c>
      <c r="D8" s="1">
        <v>2.4</v>
      </c>
      <c r="E8" s="2">
        <v>2</v>
      </c>
      <c r="F8" s="1">
        <f t="shared" si="1"/>
        <v>4.8</v>
      </c>
      <c r="G8" s="1">
        <f t="shared" si="0"/>
        <v>2.8</v>
      </c>
      <c r="H8" s="1">
        <f t="shared" si="0"/>
        <v>4.8</v>
      </c>
    </row>
    <row r="9" spans="1:8" x14ac:dyDescent="0.35">
      <c r="A9" t="s">
        <v>6</v>
      </c>
      <c r="B9" s="1">
        <v>0.9</v>
      </c>
      <c r="C9" s="1">
        <v>0.2</v>
      </c>
      <c r="D9" s="1">
        <v>0.8</v>
      </c>
      <c r="E9" s="2">
        <v>2</v>
      </c>
      <c r="F9" s="1">
        <f t="shared" si="1"/>
        <v>1.8</v>
      </c>
      <c r="G9" s="1">
        <f t="shared" si="0"/>
        <v>0.4</v>
      </c>
      <c r="H9" s="1">
        <f t="shared" si="0"/>
        <v>1.6</v>
      </c>
    </row>
    <row r="10" spans="1:8" x14ac:dyDescent="0.35">
      <c r="A10" t="s">
        <v>7</v>
      </c>
      <c r="B10" s="1">
        <v>0.99</v>
      </c>
      <c r="C10" s="1">
        <v>0.59</v>
      </c>
      <c r="D10" s="1">
        <v>2.59</v>
      </c>
      <c r="E10" s="2">
        <v>10</v>
      </c>
      <c r="F10" s="1">
        <f t="shared" si="1"/>
        <v>9.9</v>
      </c>
      <c r="G10" s="1">
        <f t="shared" si="0"/>
        <v>5.8999999999999995</v>
      </c>
      <c r="H10" s="1">
        <f t="shared" si="0"/>
        <v>25.9</v>
      </c>
    </row>
    <row r="11" spans="1:8" x14ac:dyDescent="0.35">
      <c r="A11" t="s">
        <v>8</v>
      </c>
      <c r="B11" s="1">
        <v>1.25</v>
      </c>
      <c r="C11" s="1">
        <v>3.25</v>
      </c>
      <c r="D11" s="1">
        <v>2.15</v>
      </c>
      <c r="E11" s="2">
        <v>4</v>
      </c>
      <c r="F11" s="1">
        <f t="shared" si="1"/>
        <v>5</v>
      </c>
      <c r="G11" s="1">
        <f t="shared" si="0"/>
        <v>13</v>
      </c>
      <c r="H11" s="1">
        <f t="shared" si="0"/>
        <v>8.6</v>
      </c>
    </row>
    <row r="12" spans="1:8" x14ac:dyDescent="0.35">
      <c r="A12" t="s">
        <v>9</v>
      </c>
      <c r="B12" s="1">
        <v>9.5</v>
      </c>
      <c r="C12" s="1">
        <v>14</v>
      </c>
      <c r="D12" s="1">
        <v>13</v>
      </c>
      <c r="E12" s="2">
        <v>1</v>
      </c>
      <c r="F12" s="1">
        <f t="shared" si="1"/>
        <v>9.5</v>
      </c>
      <c r="G12" s="1">
        <f t="shared" si="0"/>
        <v>14</v>
      </c>
      <c r="H12" s="1">
        <f t="shared" si="0"/>
        <v>13</v>
      </c>
    </row>
    <row r="13" spans="1:8" x14ac:dyDescent="0.35">
      <c r="A13" t="s">
        <v>19</v>
      </c>
      <c r="B13" s="1">
        <v>4.55</v>
      </c>
      <c r="C13" s="1">
        <v>2.5499999999999998</v>
      </c>
      <c r="D13" s="1">
        <v>6</v>
      </c>
      <c r="E13" s="2">
        <v>1</v>
      </c>
      <c r="F13" s="1">
        <f t="shared" si="1"/>
        <v>4.55</v>
      </c>
      <c r="G13" s="1">
        <f t="shared" si="0"/>
        <v>2.5499999999999998</v>
      </c>
      <c r="H13" s="1">
        <f t="shared" si="0"/>
        <v>6</v>
      </c>
    </row>
    <row r="14" spans="1:8" x14ac:dyDescent="0.35">
      <c r="A14" t="s">
        <v>10</v>
      </c>
      <c r="B14" s="1">
        <v>4.2</v>
      </c>
      <c r="C14" s="1">
        <v>2.2000000000000002</v>
      </c>
      <c r="D14" s="1">
        <v>3</v>
      </c>
      <c r="E14" s="2">
        <v>1</v>
      </c>
      <c r="F14" s="1">
        <f t="shared" si="1"/>
        <v>4.2</v>
      </c>
      <c r="G14" s="1">
        <f t="shared" si="0"/>
        <v>2.2000000000000002</v>
      </c>
      <c r="H14" s="1">
        <f t="shared" si="0"/>
        <v>3</v>
      </c>
    </row>
    <row r="15" spans="1:8" x14ac:dyDescent="0.35">
      <c r="A15" t="s">
        <v>11</v>
      </c>
      <c r="B15" s="1">
        <v>3.9</v>
      </c>
      <c r="C15" s="1">
        <v>5</v>
      </c>
      <c r="D15" s="1">
        <v>8</v>
      </c>
      <c r="E15" s="2">
        <v>1</v>
      </c>
      <c r="F15" s="1">
        <f t="shared" si="1"/>
        <v>3.9</v>
      </c>
      <c r="G15" s="1">
        <f t="shared" si="0"/>
        <v>5</v>
      </c>
      <c r="H15" s="1">
        <f t="shared" si="0"/>
        <v>8</v>
      </c>
    </row>
    <row r="16" spans="1:8" x14ac:dyDescent="0.35">
      <c r="A16" t="s">
        <v>12</v>
      </c>
      <c r="B16" s="1">
        <v>1</v>
      </c>
      <c r="C16" s="1">
        <v>2</v>
      </c>
      <c r="D16" s="1">
        <v>1</v>
      </c>
      <c r="E16" s="2">
        <v>1</v>
      </c>
      <c r="F16" s="1">
        <f t="shared" si="1"/>
        <v>1</v>
      </c>
      <c r="G16" s="1">
        <f t="shared" si="0"/>
        <v>2</v>
      </c>
      <c r="H16" s="1">
        <f t="shared" si="0"/>
        <v>1</v>
      </c>
    </row>
    <row r="17" spans="1:11" x14ac:dyDescent="0.35">
      <c r="A17" t="s">
        <v>13</v>
      </c>
      <c r="B17" s="1">
        <v>1.75</v>
      </c>
      <c r="C17" s="1">
        <v>2</v>
      </c>
      <c r="D17" s="1">
        <v>1</v>
      </c>
      <c r="E17" s="2">
        <v>1</v>
      </c>
      <c r="F17" s="1">
        <f t="shared" si="1"/>
        <v>1.75</v>
      </c>
      <c r="G17" s="1">
        <f t="shared" si="0"/>
        <v>2</v>
      </c>
      <c r="H17" s="1">
        <f t="shared" si="0"/>
        <v>1</v>
      </c>
    </row>
    <row r="18" spans="1:11" x14ac:dyDescent="0.35">
      <c r="A18" t="s">
        <v>14</v>
      </c>
      <c r="B18" s="1">
        <v>2</v>
      </c>
      <c r="C18" s="1">
        <v>1</v>
      </c>
      <c r="D18" s="1">
        <v>3</v>
      </c>
      <c r="E18" s="2">
        <v>1</v>
      </c>
      <c r="F18" s="1">
        <f t="shared" si="1"/>
        <v>2</v>
      </c>
      <c r="G18" s="1">
        <f t="shared" si="0"/>
        <v>1</v>
      </c>
      <c r="H18" s="1">
        <f t="shared" si="0"/>
        <v>3</v>
      </c>
    </row>
    <row r="20" spans="1:11" x14ac:dyDescent="0.35">
      <c r="F20" t="s">
        <v>15</v>
      </c>
      <c r="G20" t="s">
        <v>16</v>
      </c>
      <c r="H20" t="s">
        <v>17</v>
      </c>
      <c r="J20" t="s">
        <v>23</v>
      </c>
      <c r="K20" t="s">
        <v>22</v>
      </c>
    </row>
    <row r="21" spans="1:11" x14ac:dyDescent="0.35">
      <c r="E21" t="s">
        <v>21</v>
      </c>
      <c r="F21" s="4">
        <f>SUM(F4:F18)</f>
        <v>91.7</v>
      </c>
      <c r="G21" s="1">
        <f>SUM(G4:G18)</f>
        <v>92.85</v>
      </c>
      <c r="H21" s="1">
        <f>SUM(H4:H18)</f>
        <v>126.6</v>
      </c>
    </row>
    <row r="26" spans="1:11" ht="29" x14ac:dyDescent="0.35">
      <c r="A26" t="s">
        <v>24</v>
      </c>
      <c r="B26" t="s">
        <v>15</v>
      </c>
      <c r="C26" t="s">
        <v>16</v>
      </c>
      <c r="D26" t="s">
        <v>17</v>
      </c>
      <c r="E26" s="3" t="s">
        <v>26</v>
      </c>
      <c r="F26" t="s">
        <v>15</v>
      </c>
      <c r="G26" t="s">
        <v>16</v>
      </c>
      <c r="H26" t="s">
        <v>17</v>
      </c>
    </row>
    <row r="27" spans="1:11" x14ac:dyDescent="0.35">
      <c r="A27" t="s">
        <v>1</v>
      </c>
      <c r="B27" s="1">
        <v>0.5</v>
      </c>
      <c r="C27" s="1">
        <v>0.4</v>
      </c>
      <c r="D27" s="1">
        <v>1.4</v>
      </c>
      <c r="E27" s="2">
        <v>5</v>
      </c>
      <c r="F27" s="1">
        <f>$E27*B27</f>
        <v>2.5</v>
      </c>
      <c r="G27" s="1">
        <f t="shared" ref="G27:G41" si="2">$E27*C27</f>
        <v>2</v>
      </c>
      <c r="H27" s="1">
        <f t="shared" ref="H27:H41" si="3">$E27*D27</f>
        <v>7</v>
      </c>
    </row>
    <row r="28" spans="1:11" x14ac:dyDescent="0.35">
      <c r="A28" t="s">
        <v>2</v>
      </c>
      <c r="B28" s="1">
        <v>28</v>
      </c>
      <c r="C28" s="1">
        <v>33</v>
      </c>
      <c r="D28" s="1">
        <v>31</v>
      </c>
      <c r="E28" s="2">
        <v>1</v>
      </c>
      <c r="F28" s="1">
        <f t="shared" ref="F28:F41" si="4">$E28*B28</f>
        <v>28</v>
      </c>
      <c r="G28" s="1">
        <f t="shared" si="2"/>
        <v>33</v>
      </c>
      <c r="H28" s="1">
        <f t="shared" si="3"/>
        <v>31</v>
      </c>
    </row>
    <row r="29" spans="1:11" x14ac:dyDescent="0.35">
      <c r="A29" t="s">
        <v>3</v>
      </c>
      <c r="B29" s="1">
        <v>1.8</v>
      </c>
      <c r="C29" s="1">
        <v>1</v>
      </c>
      <c r="D29" s="1">
        <v>2</v>
      </c>
      <c r="E29" s="2">
        <v>4</v>
      </c>
      <c r="F29" s="1">
        <f t="shared" si="4"/>
        <v>7.2</v>
      </c>
      <c r="G29" s="1">
        <f t="shared" si="2"/>
        <v>4</v>
      </c>
      <c r="H29" s="1">
        <f t="shared" si="3"/>
        <v>8</v>
      </c>
    </row>
    <row r="30" spans="1:11" x14ac:dyDescent="0.35">
      <c r="A30" t="s">
        <v>25</v>
      </c>
      <c r="B30" s="1">
        <v>1.2</v>
      </c>
      <c r="C30" s="1">
        <v>0.8</v>
      </c>
      <c r="D30" s="1">
        <v>1.5</v>
      </c>
      <c r="E30" s="2">
        <v>2</v>
      </c>
      <c r="F30" s="1">
        <f t="shared" si="4"/>
        <v>2.4</v>
      </c>
      <c r="G30" s="1">
        <f t="shared" si="2"/>
        <v>1.6</v>
      </c>
      <c r="H30" s="1">
        <f t="shared" si="3"/>
        <v>3</v>
      </c>
    </row>
    <row r="31" spans="1:11" x14ac:dyDescent="0.35">
      <c r="A31" t="s">
        <v>5</v>
      </c>
      <c r="B31" s="1">
        <v>2.4</v>
      </c>
      <c r="C31" s="1">
        <v>1.4</v>
      </c>
      <c r="D31" s="1">
        <v>2.4</v>
      </c>
      <c r="E31" s="2">
        <v>2</v>
      </c>
      <c r="F31" s="1">
        <f t="shared" si="4"/>
        <v>4.8</v>
      </c>
      <c r="G31" s="1">
        <f t="shared" si="2"/>
        <v>2.8</v>
      </c>
      <c r="H31" s="1">
        <f t="shared" si="3"/>
        <v>4.8</v>
      </c>
    </row>
    <row r="32" spans="1:11" x14ac:dyDescent="0.35">
      <c r="A32" t="s">
        <v>6</v>
      </c>
      <c r="B32" s="1">
        <v>0.9</v>
      </c>
      <c r="C32" s="1">
        <v>0.2</v>
      </c>
      <c r="D32" s="1">
        <v>0.8</v>
      </c>
      <c r="E32" s="2">
        <v>2</v>
      </c>
      <c r="F32" s="1">
        <f t="shared" si="4"/>
        <v>1.8</v>
      </c>
      <c r="G32" s="1">
        <f t="shared" si="2"/>
        <v>0.4</v>
      </c>
      <c r="H32" s="1">
        <f t="shared" si="3"/>
        <v>1.6</v>
      </c>
    </row>
    <row r="33" spans="1:11" x14ac:dyDescent="0.35">
      <c r="A33" t="s">
        <v>7</v>
      </c>
      <c r="B33" s="1">
        <v>0.99</v>
      </c>
      <c r="C33" s="1">
        <v>0.59</v>
      </c>
      <c r="D33" s="1">
        <v>2.59</v>
      </c>
      <c r="E33" s="2">
        <v>10</v>
      </c>
      <c r="F33" s="1">
        <f t="shared" si="4"/>
        <v>9.9</v>
      </c>
      <c r="G33" s="1">
        <f t="shared" si="2"/>
        <v>5.8999999999999995</v>
      </c>
      <c r="H33" s="1">
        <f t="shared" si="3"/>
        <v>25.9</v>
      </c>
    </row>
    <row r="34" spans="1:11" x14ac:dyDescent="0.35">
      <c r="A34" t="s">
        <v>8</v>
      </c>
      <c r="B34" s="1">
        <v>1.25</v>
      </c>
      <c r="C34" s="1">
        <v>3.25</v>
      </c>
      <c r="D34" s="1">
        <v>2.15</v>
      </c>
      <c r="E34" s="2">
        <v>1</v>
      </c>
      <c r="F34" s="1">
        <f t="shared" si="4"/>
        <v>1.25</v>
      </c>
      <c r="G34" s="1">
        <f t="shared" si="2"/>
        <v>3.25</v>
      </c>
      <c r="H34" s="1">
        <f t="shared" si="3"/>
        <v>2.15</v>
      </c>
    </row>
    <row r="35" spans="1:11" x14ac:dyDescent="0.35">
      <c r="A35" t="s">
        <v>9</v>
      </c>
      <c r="B35" s="1">
        <v>9.5</v>
      </c>
      <c r="C35" s="1">
        <v>14</v>
      </c>
      <c r="D35" s="1">
        <v>13</v>
      </c>
      <c r="E35" s="2">
        <v>1</v>
      </c>
      <c r="F35" s="1">
        <f t="shared" si="4"/>
        <v>9.5</v>
      </c>
      <c r="G35" s="1">
        <f t="shared" si="2"/>
        <v>14</v>
      </c>
      <c r="H35" s="1">
        <f t="shared" si="3"/>
        <v>13</v>
      </c>
    </row>
    <row r="36" spans="1:11" x14ac:dyDescent="0.35">
      <c r="A36" t="s">
        <v>19</v>
      </c>
      <c r="B36" s="1">
        <v>4.55</v>
      </c>
      <c r="C36" s="1">
        <v>2.5499999999999998</v>
      </c>
      <c r="D36" s="1">
        <v>6</v>
      </c>
      <c r="E36" s="2">
        <v>1</v>
      </c>
      <c r="F36" s="1">
        <f t="shared" si="4"/>
        <v>4.55</v>
      </c>
      <c r="G36" s="1">
        <f t="shared" si="2"/>
        <v>2.5499999999999998</v>
      </c>
      <c r="H36" s="1">
        <f t="shared" si="3"/>
        <v>6</v>
      </c>
    </row>
    <row r="37" spans="1:11" x14ac:dyDescent="0.35">
      <c r="A37" t="s">
        <v>14</v>
      </c>
      <c r="B37" s="1">
        <v>2</v>
      </c>
      <c r="C37" s="1">
        <v>1</v>
      </c>
      <c r="D37" s="1">
        <v>3</v>
      </c>
      <c r="E37" s="2">
        <v>2</v>
      </c>
      <c r="F37" s="1">
        <f>$E37*B37</f>
        <v>4</v>
      </c>
      <c r="G37" s="1">
        <f>$E37*C37</f>
        <v>2</v>
      </c>
      <c r="H37" s="1">
        <f>$E37*D37</f>
        <v>6</v>
      </c>
    </row>
    <row r="38" spans="1:11" x14ac:dyDescent="0.35">
      <c r="B38" s="1"/>
      <c r="C38" s="1"/>
      <c r="D38" s="1"/>
      <c r="E38" s="2"/>
      <c r="F38" s="1"/>
      <c r="G38" s="1"/>
      <c r="H38" s="1"/>
    </row>
    <row r="39" spans="1:11" x14ac:dyDescent="0.35">
      <c r="B39" s="1"/>
      <c r="C39" s="1"/>
      <c r="D39" s="1"/>
      <c r="F39" t="s">
        <v>15</v>
      </c>
      <c r="G39" t="s">
        <v>16</v>
      </c>
      <c r="H39" t="s">
        <v>17</v>
      </c>
    </row>
    <row r="40" spans="1:11" x14ac:dyDescent="0.35">
      <c r="B40" s="1"/>
      <c r="C40" s="1"/>
      <c r="D40" s="1"/>
      <c r="E40" t="s">
        <v>21</v>
      </c>
      <c r="F40" s="5">
        <f>SUM(F27:F38)</f>
        <v>75.899999999999991</v>
      </c>
      <c r="G40" s="4">
        <f>SUM(G27:G38)</f>
        <v>71.499999999999986</v>
      </c>
      <c r="H40" s="1">
        <f>SUM(H27:H38)</f>
        <v>108.45</v>
      </c>
    </row>
    <row r="43" spans="1:11" x14ac:dyDescent="0.35">
      <c r="J43" t="s">
        <v>23</v>
      </c>
      <c r="K43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F8F1-3F5D-412E-9894-B0915123BBE2}">
  <dimension ref="A2:R19"/>
  <sheetViews>
    <sheetView workbookViewId="0">
      <selection activeCell="O10" sqref="O10"/>
    </sheetView>
  </sheetViews>
  <sheetFormatPr defaultRowHeight="14.5" x14ac:dyDescent="0.35"/>
  <cols>
    <col min="1" max="1" width="19.08984375" customWidth="1"/>
    <col min="7" max="7" width="14.90625" customWidth="1"/>
  </cols>
  <sheetData>
    <row r="2" spans="1:18" x14ac:dyDescent="0.35">
      <c r="A2" s="6" t="s">
        <v>44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8" x14ac:dyDescent="0.35">
      <c r="B3" t="s">
        <v>28</v>
      </c>
      <c r="C3" t="s">
        <v>29</v>
      </c>
    </row>
    <row r="4" spans="1:18" x14ac:dyDescent="0.35">
      <c r="A4" s="9" t="s">
        <v>33</v>
      </c>
      <c r="B4" s="10"/>
      <c r="C4" s="10"/>
      <c r="L4" s="1"/>
      <c r="R4" s="1"/>
    </row>
    <row r="5" spans="1:18" x14ac:dyDescent="0.35">
      <c r="A5" s="10" t="s">
        <v>34</v>
      </c>
      <c r="B5" s="11">
        <v>90</v>
      </c>
      <c r="C5" s="11">
        <v>50</v>
      </c>
      <c r="L5" s="1"/>
      <c r="R5" s="1"/>
    </row>
    <row r="6" spans="1:18" x14ac:dyDescent="0.35">
      <c r="A6" s="10" t="s">
        <v>30</v>
      </c>
      <c r="B6" s="11">
        <v>2</v>
      </c>
      <c r="C6" s="11">
        <v>2.5</v>
      </c>
      <c r="L6" s="1"/>
      <c r="R6" s="1"/>
    </row>
    <row r="7" spans="1:18" x14ac:dyDescent="0.35">
      <c r="A7" s="10" t="s">
        <v>35</v>
      </c>
      <c r="B7" s="11">
        <v>4.5</v>
      </c>
      <c r="C7" s="11">
        <v>5.5</v>
      </c>
      <c r="L7" s="1"/>
      <c r="R7" s="1"/>
    </row>
    <row r="8" spans="1:18" x14ac:dyDescent="0.35">
      <c r="A8" s="10" t="s">
        <v>31</v>
      </c>
      <c r="B8" s="11">
        <v>7</v>
      </c>
      <c r="C8" s="11">
        <v>7</v>
      </c>
      <c r="R8" s="1"/>
    </row>
    <row r="9" spans="1:18" x14ac:dyDescent="0.35">
      <c r="A9" s="10" t="s">
        <v>32</v>
      </c>
      <c r="B9" s="11">
        <v>0</v>
      </c>
      <c r="C9" s="11">
        <v>3</v>
      </c>
    </row>
    <row r="10" spans="1:18" x14ac:dyDescent="0.35">
      <c r="A10" s="12" t="s">
        <v>36</v>
      </c>
      <c r="B10" s="11">
        <f>SUM(B5:B9)</f>
        <v>103.5</v>
      </c>
      <c r="C10" s="11">
        <f>SUM(C5:C9)</f>
        <v>68</v>
      </c>
      <c r="J10" s="1"/>
      <c r="L10" s="1"/>
      <c r="P10" s="1"/>
      <c r="R10" s="1"/>
    </row>
    <row r="11" spans="1:18" x14ac:dyDescent="0.35">
      <c r="J11" s="1"/>
      <c r="L11" s="1"/>
      <c r="P11" s="1"/>
      <c r="R11" s="1"/>
    </row>
    <row r="12" spans="1:18" x14ac:dyDescent="0.35">
      <c r="A12" s="9" t="s">
        <v>37</v>
      </c>
      <c r="B12" s="10"/>
      <c r="C12" s="10"/>
      <c r="L12" s="1"/>
    </row>
    <row r="13" spans="1:18" x14ac:dyDescent="0.35">
      <c r="A13" s="10" t="s">
        <v>38</v>
      </c>
      <c r="B13" s="11">
        <v>11</v>
      </c>
      <c r="C13" s="11">
        <v>21</v>
      </c>
      <c r="L13" s="1"/>
      <c r="R13" s="1"/>
    </row>
    <row r="14" spans="1:18" x14ac:dyDescent="0.35">
      <c r="A14" s="10" t="s">
        <v>39</v>
      </c>
      <c r="B14" s="11">
        <v>8</v>
      </c>
      <c r="C14" s="11">
        <v>0</v>
      </c>
    </row>
    <row r="15" spans="1:18" x14ac:dyDescent="0.35">
      <c r="A15" s="10" t="s">
        <v>40</v>
      </c>
      <c r="B15" s="11">
        <v>0</v>
      </c>
      <c r="C15" s="11">
        <v>3</v>
      </c>
      <c r="I15" s="1"/>
    </row>
    <row r="16" spans="1:18" x14ac:dyDescent="0.35">
      <c r="A16" s="10" t="s">
        <v>41</v>
      </c>
      <c r="B16" s="11">
        <f>SUM(B13:B15)</f>
        <v>19</v>
      </c>
      <c r="C16" s="11">
        <f>SUM(C13:C15)</f>
        <v>24</v>
      </c>
      <c r="I16" s="1"/>
    </row>
    <row r="17" spans="1:3" x14ac:dyDescent="0.35">
      <c r="A17" s="12" t="s">
        <v>42</v>
      </c>
      <c r="B17" s="11">
        <f>B16*2</f>
        <v>38</v>
      </c>
      <c r="C17" s="11">
        <f>C16*2</f>
        <v>48</v>
      </c>
    </row>
    <row r="18" spans="1:3" x14ac:dyDescent="0.35">
      <c r="B18" t="s">
        <v>28</v>
      </c>
      <c r="C18" t="s">
        <v>29</v>
      </c>
    </row>
    <row r="19" spans="1:3" x14ac:dyDescent="0.35">
      <c r="A19" s="13" t="s">
        <v>43</v>
      </c>
      <c r="B19" s="14">
        <f>(B17*12)+B10</f>
        <v>559.5</v>
      </c>
      <c r="C19" s="14">
        <f>(C17*12)+C10</f>
        <v>644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0C64-68B9-4950-B2E1-CD70555248F4}">
  <dimension ref="A2:H35"/>
  <sheetViews>
    <sheetView tabSelected="1" topLeftCell="A23" workbookViewId="0">
      <selection activeCell="B26" sqref="B26"/>
    </sheetView>
  </sheetViews>
  <sheetFormatPr defaultRowHeight="14.5" x14ac:dyDescent="0.35"/>
  <cols>
    <col min="1" max="2" width="17.7265625" customWidth="1"/>
    <col min="3" max="5" width="10.90625" customWidth="1"/>
  </cols>
  <sheetData>
    <row r="2" spans="1:8" x14ac:dyDescent="0.35">
      <c r="G2" s="3"/>
      <c r="H2" s="3"/>
    </row>
    <row r="3" spans="1:8" ht="43.5" x14ac:dyDescent="0.35">
      <c r="C3" s="3" t="s">
        <v>45</v>
      </c>
      <c r="D3" s="3" t="s">
        <v>46</v>
      </c>
      <c r="E3" s="3" t="s">
        <v>47</v>
      </c>
    </row>
    <row r="4" spans="1:8" ht="29" x14ac:dyDescent="0.35">
      <c r="A4" s="15" t="s">
        <v>49</v>
      </c>
      <c r="B4" s="15"/>
      <c r="C4" s="1">
        <v>555</v>
      </c>
      <c r="D4" s="1">
        <v>99</v>
      </c>
      <c r="E4" s="1">
        <v>18</v>
      </c>
    </row>
    <row r="5" spans="1:8" x14ac:dyDescent="0.35">
      <c r="C5" s="1"/>
      <c r="D5" s="1">
        <v>95</v>
      </c>
      <c r="E5" s="1">
        <v>25</v>
      </c>
    </row>
    <row r="6" spans="1:8" x14ac:dyDescent="0.35">
      <c r="C6" s="1"/>
      <c r="D6" s="1">
        <v>85</v>
      </c>
      <c r="E6" s="1">
        <v>15</v>
      </c>
    </row>
    <row r="7" spans="1:8" x14ac:dyDescent="0.35">
      <c r="C7" s="1"/>
      <c r="D7" s="1">
        <v>85</v>
      </c>
      <c r="E7" s="1">
        <v>9</v>
      </c>
    </row>
    <row r="8" spans="1:8" x14ac:dyDescent="0.35">
      <c r="A8" t="s">
        <v>48</v>
      </c>
      <c r="C8" s="1">
        <v>350</v>
      </c>
      <c r="D8" s="1">
        <v>100</v>
      </c>
      <c r="E8" s="1">
        <v>280</v>
      </c>
    </row>
    <row r="9" spans="1:8" x14ac:dyDescent="0.35">
      <c r="A9" s="8" t="s">
        <v>50</v>
      </c>
      <c r="B9" s="8"/>
      <c r="C9" s="1">
        <f>SUM(C4:C8)</f>
        <v>905</v>
      </c>
      <c r="D9" s="1">
        <f t="shared" ref="D9:E9" si="0">SUM(D4:D8)</f>
        <v>464</v>
      </c>
      <c r="E9" s="1">
        <f t="shared" si="0"/>
        <v>347</v>
      </c>
    </row>
    <row r="11" spans="1:8" x14ac:dyDescent="0.35">
      <c r="A11" s="7" t="s">
        <v>61</v>
      </c>
    </row>
    <row r="12" spans="1:8" x14ac:dyDescent="0.35">
      <c r="A12" t="s">
        <v>52</v>
      </c>
      <c r="D12" s="1">
        <v>105</v>
      </c>
      <c r="E12" s="1">
        <v>120</v>
      </c>
    </row>
    <row r="13" spans="1:8" x14ac:dyDescent="0.35">
      <c r="A13" t="s">
        <v>51</v>
      </c>
      <c r="D13" s="1">
        <v>0</v>
      </c>
      <c r="E13" s="1">
        <v>40</v>
      </c>
    </row>
    <row r="14" spans="1:8" x14ac:dyDescent="0.35">
      <c r="A14" t="s">
        <v>58</v>
      </c>
      <c r="D14" s="1">
        <v>50</v>
      </c>
      <c r="E14" s="1">
        <v>50</v>
      </c>
    </row>
    <row r="17" spans="1:5" ht="43.5" x14ac:dyDescent="0.35">
      <c r="A17" s="16" t="s">
        <v>53</v>
      </c>
      <c r="B17" s="16" t="s">
        <v>62</v>
      </c>
      <c r="C17" s="18" t="s">
        <v>45</v>
      </c>
      <c r="D17" s="18" t="s">
        <v>46</v>
      </c>
      <c r="E17" s="18" t="s">
        <v>47</v>
      </c>
    </row>
    <row r="18" spans="1:5" x14ac:dyDescent="0.35">
      <c r="A18" s="16">
        <v>2</v>
      </c>
      <c r="B18" s="16" t="s">
        <v>55</v>
      </c>
      <c r="C18" s="17">
        <f>$A$18*C9</f>
        <v>1810</v>
      </c>
      <c r="D18" s="17">
        <f>$A$18*D9</f>
        <v>928</v>
      </c>
      <c r="E18" s="17">
        <f>$A$18*E9</f>
        <v>694</v>
      </c>
    </row>
    <row r="19" spans="1:5" x14ac:dyDescent="0.35">
      <c r="A19" s="16">
        <v>5</v>
      </c>
      <c r="B19" s="16" t="s">
        <v>57</v>
      </c>
      <c r="C19" s="17">
        <f>$A$19*C12</f>
        <v>0</v>
      </c>
      <c r="D19" s="17">
        <f t="shared" ref="D19:E19" si="1">$A$19*D12</f>
        <v>525</v>
      </c>
      <c r="E19" s="17">
        <f t="shared" si="1"/>
        <v>600</v>
      </c>
    </row>
    <row r="20" spans="1:5" x14ac:dyDescent="0.35">
      <c r="A20" s="16">
        <v>4</v>
      </c>
      <c r="B20" s="16" t="s">
        <v>56</v>
      </c>
      <c r="C20" s="17">
        <f>$A$20*C13</f>
        <v>0</v>
      </c>
      <c r="D20" s="17">
        <f t="shared" ref="D20:E20" si="2">$A$20*D13</f>
        <v>0</v>
      </c>
      <c r="E20" s="17">
        <f t="shared" si="2"/>
        <v>160</v>
      </c>
    </row>
    <row r="21" spans="1:5" x14ac:dyDescent="0.35">
      <c r="A21" s="16">
        <v>2</v>
      </c>
      <c r="B21" s="16" t="s">
        <v>59</v>
      </c>
      <c r="C21" s="17">
        <f>$A$21*$A$20*C14</f>
        <v>0</v>
      </c>
      <c r="D21" s="17">
        <f t="shared" ref="D21:E21" si="3">$A$21*$A$20*D14</f>
        <v>400</v>
      </c>
      <c r="E21" s="17">
        <f t="shared" si="3"/>
        <v>400</v>
      </c>
    </row>
    <row r="22" spans="1:5" x14ac:dyDescent="0.35">
      <c r="A22" s="16"/>
      <c r="B22" s="16" t="s">
        <v>60</v>
      </c>
      <c r="C22" s="17">
        <f>SUM(C18:C21)</f>
        <v>1810</v>
      </c>
      <c r="D22" s="17">
        <f t="shared" ref="D22:E22" si="4">SUM(D18:D21)</f>
        <v>1853</v>
      </c>
      <c r="E22" s="17">
        <f t="shared" si="4"/>
        <v>1854</v>
      </c>
    </row>
    <row r="30" spans="1:5" ht="43.5" x14ac:dyDescent="0.35">
      <c r="A30" s="19" t="s">
        <v>54</v>
      </c>
      <c r="B30" s="19" t="s">
        <v>62</v>
      </c>
      <c r="C30" s="21" t="s">
        <v>45</v>
      </c>
      <c r="D30" s="21" t="s">
        <v>46</v>
      </c>
      <c r="E30" s="21" t="s">
        <v>47</v>
      </c>
    </row>
    <row r="31" spans="1:5" x14ac:dyDescent="0.35">
      <c r="A31" s="19">
        <v>4</v>
      </c>
      <c r="B31" s="19" t="s">
        <v>55</v>
      </c>
      <c r="C31" s="20">
        <f>$A$18*C18</f>
        <v>3620</v>
      </c>
      <c r="D31" s="20">
        <f>$A$18*D18</f>
        <v>1856</v>
      </c>
      <c r="E31" s="20">
        <f>$A$18*E18</f>
        <v>1388</v>
      </c>
    </row>
    <row r="32" spans="1:5" x14ac:dyDescent="0.35">
      <c r="A32" s="19">
        <v>5</v>
      </c>
      <c r="B32" s="19" t="s">
        <v>57</v>
      </c>
      <c r="C32" s="20">
        <f>$A$19*C20</f>
        <v>0</v>
      </c>
      <c r="D32" s="20">
        <f t="shared" ref="D32:E32" si="5">$A$19*D20</f>
        <v>0</v>
      </c>
      <c r="E32" s="20">
        <f t="shared" si="5"/>
        <v>800</v>
      </c>
    </row>
    <row r="33" spans="1:5" x14ac:dyDescent="0.35">
      <c r="A33" s="19">
        <v>4</v>
      </c>
      <c r="B33" s="19" t="s">
        <v>56</v>
      </c>
      <c r="C33" s="20">
        <f>$A$20*C21</f>
        <v>0</v>
      </c>
      <c r="D33" s="20">
        <f t="shared" ref="D33:E33" si="6">$A$20*D21</f>
        <v>1600</v>
      </c>
      <c r="E33" s="20">
        <f t="shared" si="6"/>
        <v>1600</v>
      </c>
    </row>
    <row r="34" spans="1:5" x14ac:dyDescent="0.35">
      <c r="A34" s="19">
        <v>4</v>
      </c>
      <c r="B34" s="19" t="s">
        <v>59</v>
      </c>
      <c r="C34" s="20">
        <f>$A$21*$A$20*C22</f>
        <v>14480</v>
      </c>
      <c r="D34" s="20">
        <f t="shared" ref="D34:E34" si="7">$A$21*$A$20*D22</f>
        <v>14824</v>
      </c>
      <c r="E34" s="20">
        <f t="shared" si="7"/>
        <v>14832</v>
      </c>
    </row>
    <row r="35" spans="1:5" x14ac:dyDescent="0.35">
      <c r="A35" s="19"/>
      <c r="B35" s="19" t="s">
        <v>60</v>
      </c>
      <c r="C35" s="20">
        <f>SUM(C31:C34)</f>
        <v>18100</v>
      </c>
      <c r="D35" s="20">
        <f t="shared" ref="D35" si="8">SUM(D31:D34)</f>
        <v>18280</v>
      </c>
      <c r="E35" s="20">
        <f t="shared" ref="E35" si="9">SUM(E31:E34)</f>
        <v>18620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 Shopping</vt:lpstr>
      <vt:lpstr>Cat Vs Dog</vt:lpstr>
      <vt:lpstr>Vacation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Pandey</dc:creator>
  <cp:lastModifiedBy>Surabhi Pandey</cp:lastModifiedBy>
  <dcterms:created xsi:type="dcterms:W3CDTF">2023-11-30T08:42:09Z</dcterms:created>
  <dcterms:modified xsi:type="dcterms:W3CDTF">2023-11-30T12:41:17Z</dcterms:modified>
</cp:coreProperties>
</file>