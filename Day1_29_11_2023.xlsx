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bhi\Desktop\My_Journey_to_Data Analyst\Day1_29_11_2023\"/>
    </mc:Choice>
  </mc:AlternateContent>
  <xr:revisionPtr revIDLastSave="0" documentId="13_ncr:1_{7C3FBE17-1DA0-4F59-96B6-AA74CC9951BF}" xr6:coauthVersionLast="47" xr6:coauthVersionMax="47" xr10:uidLastSave="{00000000-0000-0000-0000-000000000000}"/>
  <bookViews>
    <workbookView xWindow="-110" yWindow="-110" windowWidth="19420" windowHeight="10300" firstSheet="7" activeTab="10" xr2:uid="{C81C1C3F-B8C3-4028-BACC-1AA662B52F6D}"/>
  </bookViews>
  <sheets>
    <sheet name="Agenda" sheetId="1" r:id="rId1"/>
    <sheet name="P1_Payroll" sheetId="2" r:id="rId2"/>
    <sheet name="P1_Payroll (2)" sheetId="3" r:id="rId3"/>
    <sheet name="P1_Payroll (3)" sheetId="4" r:id="rId4"/>
    <sheet name="P2_Gradebook" sheetId="5" r:id="rId5"/>
    <sheet name="P3_Decision Factors" sheetId="6" r:id="rId6"/>
    <sheet name="P4_Sales Report" sheetId="8" r:id="rId7"/>
    <sheet name="P4_Pivot table" sheetId="9" r:id="rId8"/>
    <sheet name="P5_Car Inventory" sheetId="11" r:id="rId9"/>
    <sheet name="P5_Pivot table" sheetId="12" r:id="rId10"/>
    <sheet name="Prob_solving1" sheetId="13" r:id="rId11"/>
  </sheets>
  <definedNames>
    <definedName name="_xlnm._FilterDatabase" localSheetId="6" hidden="1">'P4_Sales Report'!$A$3:$K$174</definedName>
  </definedNames>
  <calcPr calcId="191029"/>
  <pivotCaches>
    <pivotCache cacheId="2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3" l="1"/>
  <c r="F3" i="13" s="1"/>
  <c r="G3" i="13" s="1"/>
  <c r="E4" i="13"/>
  <c r="F4" i="13" s="1"/>
  <c r="G4" i="13" s="1"/>
  <c r="E5" i="13"/>
  <c r="F5" i="13"/>
  <c r="G5" i="13" s="1"/>
  <c r="E2" i="13"/>
  <c r="F2" i="13" s="1"/>
  <c r="G2" i="13" s="1"/>
  <c r="M28" i="11"/>
  <c r="M21" i="11"/>
  <c r="M33" i="11"/>
  <c r="M34" i="11"/>
  <c r="M26" i="11"/>
  <c r="M19" i="11"/>
  <c r="M32" i="11"/>
  <c r="M24" i="11"/>
  <c r="M25" i="11"/>
  <c r="M48" i="11"/>
  <c r="M39" i="11"/>
  <c r="M52" i="11"/>
  <c r="M42" i="11"/>
  <c r="M47" i="11"/>
  <c r="M50" i="11"/>
  <c r="M36" i="11"/>
  <c r="M13" i="11"/>
  <c r="M7" i="11"/>
  <c r="M2" i="11"/>
  <c r="M5" i="11"/>
  <c r="M4" i="11"/>
  <c r="M15" i="11"/>
  <c r="M8" i="11"/>
  <c r="M20" i="11"/>
  <c r="M6" i="11"/>
  <c r="M46" i="11"/>
  <c r="M27" i="11"/>
  <c r="M45" i="11"/>
  <c r="M9" i="11"/>
  <c r="M17" i="11"/>
  <c r="M49" i="11"/>
  <c r="M30" i="11"/>
  <c r="M31" i="11"/>
  <c r="M40" i="11"/>
  <c r="M51" i="11"/>
  <c r="M12" i="11"/>
  <c r="M16" i="11"/>
  <c r="M22" i="11"/>
  <c r="M18" i="11"/>
  <c r="M53" i="11"/>
  <c r="M10" i="11"/>
  <c r="M29" i="11"/>
  <c r="M38" i="11"/>
  <c r="M14" i="11"/>
  <c r="M11" i="11"/>
  <c r="M3" i="11"/>
  <c r="M23" i="11"/>
  <c r="M35" i="11"/>
  <c r="M43" i="11"/>
  <c r="M44" i="11"/>
  <c r="M41" i="11"/>
  <c r="M37" i="11"/>
  <c r="G26" i="11"/>
  <c r="I26" i="11" s="1"/>
  <c r="G19" i="11"/>
  <c r="I19" i="11" s="1"/>
  <c r="G24" i="11"/>
  <c r="I24" i="11" s="1"/>
  <c r="G39" i="11"/>
  <c r="I39" i="11" s="1"/>
  <c r="G13" i="11"/>
  <c r="I13" i="11" s="1"/>
  <c r="G7" i="11"/>
  <c r="I7" i="11" s="1"/>
  <c r="G5" i="11"/>
  <c r="I5" i="11" s="1"/>
  <c r="G8" i="11"/>
  <c r="I8" i="11" s="1"/>
  <c r="G9" i="11"/>
  <c r="I9" i="11" s="1"/>
  <c r="G17" i="11"/>
  <c r="I17" i="11" s="1"/>
  <c r="G30" i="11"/>
  <c r="I30" i="11" s="1"/>
  <c r="G51" i="11"/>
  <c r="I51" i="11" s="1"/>
  <c r="G10" i="11"/>
  <c r="I10" i="11" s="1"/>
  <c r="G29" i="11"/>
  <c r="I29" i="11" s="1"/>
  <c r="G14" i="11"/>
  <c r="I14" i="11" s="1"/>
  <c r="G23" i="11"/>
  <c r="I23" i="11" s="1"/>
  <c r="F28" i="11"/>
  <c r="G28" i="11" s="1"/>
  <c r="I28" i="11" s="1"/>
  <c r="F21" i="11"/>
  <c r="G21" i="11" s="1"/>
  <c r="I21" i="11" s="1"/>
  <c r="F33" i="11"/>
  <c r="G33" i="11" s="1"/>
  <c r="I33" i="11" s="1"/>
  <c r="F34" i="11"/>
  <c r="G34" i="11" s="1"/>
  <c r="I34" i="11" s="1"/>
  <c r="F26" i="11"/>
  <c r="F19" i="11"/>
  <c r="F32" i="11"/>
  <c r="G32" i="11" s="1"/>
  <c r="I32" i="11" s="1"/>
  <c r="F24" i="11"/>
  <c r="F25" i="11"/>
  <c r="G25" i="11" s="1"/>
  <c r="I25" i="11" s="1"/>
  <c r="F48" i="11"/>
  <c r="G48" i="11" s="1"/>
  <c r="I48" i="11" s="1"/>
  <c r="F39" i="11"/>
  <c r="F52" i="11"/>
  <c r="G52" i="11" s="1"/>
  <c r="I52" i="11" s="1"/>
  <c r="F42" i="11"/>
  <c r="G42" i="11" s="1"/>
  <c r="I42" i="11" s="1"/>
  <c r="F47" i="11"/>
  <c r="G47" i="11" s="1"/>
  <c r="I47" i="11" s="1"/>
  <c r="F50" i="11"/>
  <c r="G50" i="11" s="1"/>
  <c r="I50" i="11" s="1"/>
  <c r="F36" i="11"/>
  <c r="G36" i="11" s="1"/>
  <c r="I36" i="11" s="1"/>
  <c r="F13" i="11"/>
  <c r="F7" i="11"/>
  <c r="F2" i="11"/>
  <c r="G2" i="11" s="1"/>
  <c r="I2" i="11" s="1"/>
  <c r="F5" i="11"/>
  <c r="F4" i="11"/>
  <c r="G4" i="11" s="1"/>
  <c r="I4" i="11" s="1"/>
  <c r="F15" i="11"/>
  <c r="G15" i="11" s="1"/>
  <c r="I15" i="11" s="1"/>
  <c r="F8" i="11"/>
  <c r="F20" i="11"/>
  <c r="G20" i="11" s="1"/>
  <c r="I20" i="11" s="1"/>
  <c r="F6" i="11"/>
  <c r="G6" i="11" s="1"/>
  <c r="I6" i="11" s="1"/>
  <c r="F46" i="11"/>
  <c r="G46" i="11" s="1"/>
  <c r="I46" i="11" s="1"/>
  <c r="F27" i="11"/>
  <c r="G27" i="11" s="1"/>
  <c r="I27" i="11" s="1"/>
  <c r="F45" i="11"/>
  <c r="G45" i="11" s="1"/>
  <c r="I45" i="11" s="1"/>
  <c r="F9" i="11"/>
  <c r="F17" i="11"/>
  <c r="F49" i="11"/>
  <c r="G49" i="11" s="1"/>
  <c r="I49" i="11" s="1"/>
  <c r="F30" i="11"/>
  <c r="F31" i="11"/>
  <c r="G31" i="11" s="1"/>
  <c r="I31" i="11" s="1"/>
  <c r="F40" i="11"/>
  <c r="G40" i="11" s="1"/>
  <c r="I40" i="11" s="1"/>
  <c r="F51" i="11"/>
  <c r="F12" i="11"/>
  <c r="G12" i="11" s="1"/>
  <c r="I12" i="11" s="1"/>
  <c r="F16" i="11"/>
  <c r="G16" i="11" s="1"/>
  <c r="I16" i="11" s="1"/>
  <c r="F22" i="11"/>
  <c r="G22" i="11" s="1"/>
  <c r="I22" i="11" s="1"/>
  <c r="F18" i="11"/>
  <c r="G18" i="11" s="1"/>
  <c r="I18" i="11" s="1"/>
  <c r="F53" i="11"/>
  <c r="G53" i="11" s="1"/>
  <c r="I53" i="11" s="1"/>
  <c r="F10" i="11"/>
  <c r="F29" i="11"/>
  <c r="F38" i="11"/>
  <c r="G38" i="11" s="1"/>
  <c r="I38" i="11" s="1"/>
  <c r="F14" i="11"/>
  <c r="F11" i="11"/>
  <c r="G11" i="11" s="1"/>
  <c r="I11" i="11" s="1"/>
  <c r="F3" i="11"/>
  <c r="G3" i="11" s="1"/>
  <c r="I3" i="11" s="1"/>
  <c r="F23" i="11"/>
  <c r="F35" i="11"/>
  <c r="G35" i="11" s="1"/>
  <c r="I35" i="11" s="1"/>
  <c r="F43" i="11"/>
  <c r="G43" i="11" s="1"/>
  <c r="I43" i="11" s="1"/>
  <c r="F44" i="11"/>
  <c r="G44" i="11" s="1"/>
  <c r="I44" i="11" s="1"/>
  <c r="F41" i="11"/>
  <c r="G41" i="11" s="1"/>
  <c r="I41" i="11" s="1"/>
  <c r="F37" i="11"/>
  <c r="G37" i="11" s="1"/>
  <c r="I37" i="11" s="1"/>
  <c r="E32" i="11"/>
  <c r="E25" i="11"/>
  <c r="E39" i="11"/>
  <c r="E47" i="11"/>
  <c r="E2" i="11"/>
  <c r="E5" i="11"/>
  <c r="E8" i="11"/>
  <c r="E46" i="11"/>
  <c r="E49" i="11"/>
  <c r="E30" i="11"/>
  <c r="E51" i="11"/>
  <c r="E16" i="11"/>
  <c r="E22" i="11"/>
  <c r="E53" i="11"/>
  <c r="E38" i="11"/>
  <c r="E3" i="11"/>
  <c r="E43" i="11"/>
  <c r="E44" i="11"/>
  <c r="E37" i="11"/>
  <c r="D28" i="11"/>
  <c r="E28" i="11" s="1"/>
  <c r="D21" i="11"/>
  <c r="E21" i="11" s="1"/>
  <c r="D33" i="11"/>
  <c r="E33" i="11" s="1"/>
  <c r="D34" i="11"/>
  <c r="E34" i="11" s="1"/>
  <c r="D26" i="11"/>
  <c r="E26" i="11" s="1"/>
  <c r="D19" i="11"/>
  <c r="E19" i="11" s="1"/>
  <c r="D32" i="11"/>
  <c r="D24" i="11"/>
  <c r="E24" i="11" s="1"/>
  <c r="D25" i="11"/>
  <c r="D48" i="11"/>
  <c r="E48" i="11" s="1"/>
  <c r="D39" i="11"/>
  <c r="D52" i="11"/>
  <c r="E52" i="11" s="1"/>
  <c r="D42" i="11"/>
  <c r="E42" i="11" s="1"/>
  <c r="D47" i="11"/>
  <c r="D50" i="11"/>
  <c r="E50" i="11" s="1"/>
  <c r="D36" i="11"/>
  <c r="E36" i="11" s="1"/>
  <c r="D13" i="11"/>
  <c r="E13" i="11" s="1"/>
  <c r="D7" i="11"/>
  <c r="E7" i="11" s="1"/>
  <c r="D2" i="11"/>
  <c r="D5" i="11"/>
  <c r="D4" i="11"/>
  <c r="E4" i="11" s="1"/>
  <c r="D15" i="11"/>
  <c r="E15" i="11" s="1"/>
  <c r="D8" i="11"/>
  <c r="D20" i="11"/>
  <c r="E20" i="11" s="1"/>
  <c r="D6" i="11"/>
  <c r="E6" i="11" s="1"/>
  <c r="D46" i="11"/>
  <c r="D27" i="11"/>
  <c r="E27" i="11" s="1"/>
  <c r="D45" i="11"/>
  <c r="E45" i="11" s="1"/>
  <c r="D9" i="11"/>
  <c r="E9" i="11" s="1"/>
  <c r="D17" i="11"/>
  <c r="E17" i="11" s="1"/>
  <c r="D49" i="11"/>
  <c r="D30" i="11"/>
  <c r="D31" i="11"/>
  <c r="E31" i="11" s="1"/>
  <c r="D40" i="11"/>
  <c r="E40" i="11" s="1"/>
  <c r="D51" i="11"/>
  <c r="D12" i="11"/>
  <c r="E12" i="11" s="1"/>
  <c r="D16" i="11"/>
  <c r="D22" i="11"/>
  <c r="D18" i="11"/>
  <c r="E18" i="11" s="1"/>
  <c r="D53" i="11"/>
  <c r="D10" i="11"/>
  <c r="E10" i="11" s="1"/>
  <c r="D29" i="11"/>
  <c r="E29" i="11" s="1"/>
  <c r="D38" i="11"/>
  <c r="D14" i="11"/>
  <c r="E14" i="11" s="1"/>
  <c r="D11" i="11"/>
  <c r="E11" i="11" s="1"/>
  <c r="D3" i="11"/>
  <c r="D23" i="11"/>
  <c r="E23" i="11" s="1"/>
  <c r="D35" i="11"/>
  <c r="E35" i="11" s="1"/>
  <c r="D43" i="11"/>
  <c r="D44" i="11"/>
  <c r="D41" i="11"/>
  <c r="E41" i="11" s="1"/>
  <c r="D37" i="11"/>
  <c r="C33" i="11"/>
  <c r="C34" i="11"/>
  <c r="C32" i="11"/>
  <c r="C25" i="11"/>
  <c r="C48" i="11"/>
  <c r="C39" i="11"/>
  <c r="C52" i="11"/>
  <c r="C50" i="11"/>
  <c r="C4" i="11"/>
  <c r="C15" i="11"/>
  <c r="C20" i="11"/>
  <c r="C27" i="11"/>
  <c r="C31" i="11"/>
  <c r="C40" i="11"/>
  <c r="C16" i="11"/>
  <c r="C38" i="11"/>
  <c r="C3" i="11"/>
  <c r="C35" i="11"/>
  <c r="C44" i="11"/>
  <c r="C41" i="11"/>
  <c r="B28" i="11"/>
  <c r="N28" i="11" s="1"/>
  <c r="B21" i="11"/>
  <c r="N21" i="11" s="1"/>
  <c r="B33" i="11"/>
  <c r="N33" i="11" s="1"/>
  <c r="B34" i="11"/>
  <c r="N34" i="11" s="1"/>
  <c r="B26" i="11"/>
  <c r="C26" i="11" s="1"/>
  <c r="B19" i="11"/>
  <c r="N19" i="11" s="1"/>
  <c r="B32" i="11"/>
  <c r="N32" i="11" s="1"/>
  <c r="B24" i="11"/>
  <c r="C24" i="11" s="1"/>
  <c r="B25" i="11"/>
  <c r="N25" i="11" s="1"/>
  <c r="B48" i="11"/>
  <c r="N48" i="11" s="1"/>
  <c r="B39" i="11"/>
  <c r="N39" i="11" s="1"/>
  <c r="B52" i="11"/>
  <c r="B42" i="11"/>
  <c r="C42" i="11" s="1"/>
  <c r="B47" i="11"/>
  <c r="N47" i="11" s="1"/>
  <c r="B50" i="11"/>
  <c r="N50" i="11" s="1"/>
  <c r="B36" i="11"/>
  <c r="N36" i="11" s="1"/>
  <c r="B13" i="11"/>
  <c r="N13" i="11" s="1"/>
  <c r="B7" i="11"/>
  <c r="N7" i="11" s="1"/>
  <c r="B2" i="11"/>
  <c r="N2" i="11" s="1"/>
  <c r="B5" i="11"/>
  <c r="N5" i="11" s="1"/>
  <c r="B4" i="11"/>
  <c r="N4" i="11" s="1"/>
  <c r="B15" i="11"/>
  <c r="N15" i="11" s="1"/>
  <c r="B8" i="11"/>
  <c r="C8" i="11" s="1"/>
  <c r="B20" i="11"/>
  <c r="B6" i="11"/>
  <c r="N6" i="11" s="1"/>
  <c r="B46" i="11"/>
  <c r="N46" i="11" s="1"/>
  <c r="B27" i="11"/>
  <c r="N27" i="11" s="1"/>
  <c r="B45" i="11"/>
  <c r="N45" i="11" s="1"/>
  <c r="B9" i="11"/>
  <c r="N9" i="11" s="1"/>
  <c r="B17" i="11"/>
  <c r="N17" i="11" s="1"/>
  <c r="B49" i="11"/>
  <c r="N49" i="11" s="1"/>
  <c r="B30" i="11"/>
  <c r="N30" i="11" s="1"/>
  <c r="B31" i="11"/>
  <c r="N31" i="11" s="1"/>
  <c r="B40" i="11"/>
  <c r="N40" i="11" s="1"/>
  <c r="B51" i="11"/>
  <c r="C51" i="11" s="1"/>
  <c r="B12" i="11"/>
  <c r="C12" i="11" s="1"/>
  <c r="B16" i="11"/>
  <c r="N16" i="11" s="1"/>
  <c r="B22" i="11"/>
  <c r="N22" i="11" s="1"/>
  <c r="B18" i="11"/>
  <c r="C18" i="11" s="1"/>
  <c r="B53" i="11"/>
  <c r="N53" i="11" s="1"/>
  <c r="B10" i="11"/>
  <c r="N10" i="11" s="1"/>
  <c r="B29" i="11"/>
  <c r="N29" i="11" s="1"/>
  <c r="B38" i="11"/>
  <c r="N38" i="11" s="1"/>
  <c r="B14" i="11"/>
  <c r="N14" i="11" s="1"/>
  <c r="B11" i="11"/>
  <c r="N11" i="11" s="1"/>
  <c r="B3" i="11"/>
  <c r="N3" i="11" s="1"/>
  <c r="B23" i="11"/>
  <c r="C23" i="11" s="1"/>
  <c r="B35" i="11"/>
  <c r="B43" i="11"/>
  <c r="N43" i="11" s="1"/>
  <c r="B44" i="11"/>
  <c r="N44" i="11" s="1"/>
  <c r="B41" i="11"/>
  <c r="N41" i="11" s="1"/>
  <c r="B37" i="11"/>
  <c r="N37" i="11" s="1"/>
  <c r="F178" i="8"/>
  <c r="F177" i="8"/>
  <c r="F176" i="8"/>
  <c r="H42" i="8"/>
  <c r="H30" i="8"/>
  <c r="H172" i="8"/>
  <c r="H24" i="8"/>
  <c r="G62" i="8"/>
  <c r="H62" i="8" s="1"/>
  <c r="G36" i="8"/>
  <c r="H36" i="8" s="1"/>
  <c r="G4" i="8"/>
  <c r="H4" i="8" s="1"/>
  <c r="G37" i="8"/>
  <c r="H37" i="8" s="1"/>
  <c r="G38" i="8"/>
  <c r="H38" i="8" s="1"/>
  <c r="G112" i="8"/>
  <c r="H112" i="8" s="1"/>
  <c r="G118" i="8"/>
  <c r="H118" i="8" s="1"/>
  <c r="G39" i="8"/>
  <c r="H39" i="8" s="1"/>
  <c r="G101" i="8"/>
  <c r="H101" i="8" s="1"/>
  <c r="G16" i="8"/>
  <c r="H16" i="8" s="1"/>
  <c r="G119" i="8"/>
  <c r="H119" i="8" s="1"/>
  <c r="G104" i="8"/>
  <c r="H104" i="8" s="1"/>
  <c r="G54" i="8"/>
  <c r="H54" i="8" s="1"/>
  <c r="G25" i="8"/>
  <c r="H25" i="8" s="1"/>
  <c r="G81" i="8"/>
  <c r="H81" i="8" s="1"/>
  <c r="G109" i="8"/>
  <c r="H109" i="8" s="1"/>
  <c r="G82" i="8"/>
  <c r="H82" i="8" s="1"/>
  <c r="G105" i="8"/>
  <c r="H105" i="8" s="1"/>
  <c r="G150" i="8"/>
  <c r="H150" i="8" s="1"/>
  <c r="G102" i="8"/>
  <c r="H102" i="8" s="1"/>
  <c r="G169" i="8"/>
  <c r="H169" i="8" s="1"/>
  <c r="G113" i="8"/>
  <c r="H113" i="8" s="1"/>
  <c r="G167" i="8"/>
  <c r="H167" i="8" s="1"/>
  <c r="G143" i="8"/>
  <c r="H143" i="8" s="1"/>
  <c r="G114" i="8"/>
  <c r="H114" i="8" s="1"/>
  <c r="G126" i="8"/>
  <c r="H126" i="8" s="1"/>
  <c r="G5" i="8"/>
  <c r="H5" i="8" s="1"/>
  <c r="G17" i="8"/>
  <c r="H17" i="8" s="1"/>
  <c r="G132" i="8"/>
  <c r="H132" i="8" s="1"/>
  <c r="G63" i="8"/>
  <c r="H63" i="8" s="1"/>
  <c r="G6" i="8"/>
  <c r="H6" i="8" s="1"/>
  <c r="G64" i="8"/>
  <c r="H64" i="8" s="1"/>
  <c r="G103" i="8"/>
  <c r="H103" i="8" s="1"/>
  <c r="G75" i="8"/>
  <c r="H75" i="8" s="1"/>
  <c r="G133" i="8"/>
  <c r="H133" i="8" s="1"/>
  <c r="G134" i="8"/>
  <c r="H134" i="8" s="1"/>
  <c r="G135" i="8"/>
  <c r="H135" i="8" s="1"/>
  <c r="G65" i="8"/>
  <c r="H65" i="8" s="1"/>
  <c r="G18" i="8"/>
  <c r="H18" i="8" s="1"/>
  <c r="G107" i="8"/>
  <c r="H107" i="8" s="1"/>
  <c r="G120" i="8"/>
  <c r="H120" i="8" s="1"/>
  <c r="G83" i="8"/>
  <c r="H83" i="8" s="1"/>
  <c r="G84" i="8"/>
  <c r="H84" i="8" s="1"/>
  <c r="G26" i="8"/>
  <c r="H26" i="8" s="1"/>
  <c r="G168" i="8"/>
  <c r="H168" i="8" s="1"/>
  <c r="G27" i="8"/>
  <c r="H27" i="8" s="1"/>
  <c r="G7" i="8"/>
  <c r="H7" i="8" s="1"/>
  <c r="G100" i="8"/>
  <c r="H100" i="8" s="1"/>
  <c r="G8" i="8"/>
  <c r="H8" i="8" s="1"/>
  <c r="G170" i="8"/>
  <c r="H170" i="8" s="1"/>
  <c r="G40" i="8"/>
  <c r="H40" i="8" s="1"/>
  <c r="G55" i="8"/>
  <c r="H55" i="8" s="1"/>
  <c r="G151" i="8"/>
  <c r="H151" i="8" s="1"/>
  <c r="G136" i="8"/>
  <c r="H136" i="8" s="1"/>
  <c r="G85" i="8"/>
  <c r="H85" i="8" s="1"/>
  <c r="G66" i="8"/>
  <c r="H66" i="8" s="1"/>
  <c r="G28" i="8"/>
  <c r="H28" i="8" s="1"/>
  <c r="G41" i="8"/>
  <c r="H41" i="8" s="1"/>
  <c r="G152" i="8"/>
  <c r="H152" i="8" s="1"/>
  <c r="G153" i="8"/>
  <c r="H153" i="8" s="1"/>
  <c r="G9" i="8"/>
  <c r="H9" i="8" s="1"/>
  <c r="G86" i="8"/>
  <c r="H86" i="8" s="1"/>
  <c r="G29" i="8"/>
  <c r="H29" i="8" s="1"/>
  <c r="G121" i="8"/>
  <c r="H121" i="8" s="1"/>
  <c r="G154" i="8"/>
  <c r="H154" i="8" s="1"/>
  <c r="G171" i="8"/>
  <c r="H171" i="8" s="1"/>
  <c r="G67" i="8"/>
  <c r="H67" i="8" s="1"/>
  <c r="G42" i="8"/>
  <c r="G30" i="8"/>
  <c r="G10" i="8"/>
  <c r="H10" i="8" s="1"/>
  <c r="G155" i="8"/>
  <c r="H155" i="8" s="1"/>
  <c r="G87" i="8"/>
  <c r="H87" i="8" s="1"/>
  <c r="G43" i="8"/>
  <c r="H43" i="8" s="1"/>
  <c r="G76" i="8"/>
  <c r="H76" i="8" s="1"/>
  <c r="G19" i="8"/>
  <c r="H19" i="8" s="1"/>
  <c r="G31" i="8"/>
  <c r="H31" i="8" s="1"/>
  <c r="G137" i="8"/>
  <c r="H137" i="8" s="1"/>
  <c r="G110" i="8"/>
  <c r="H110" i="8" s="1"/>
  <c r="G88" i="8"/>
  <c r="H88" i="8" s="1"/>
  <c r="G172" i="8"/>
  <c r="G56" i="8"/>
  <c r="H56" i="8" s="1"/>
  <c r="G127" i="8"/>
  <c r="H127" i="8" s="1"/>
  <c r="G11" i="8"/>
  <c r="H11" i="8" s="1"/>
  <c r="G156" i="8"/>
  <c r="H156" i="8" s="1"/>
  <c r="G32" i="8"/>
  <c r="H32" i="8" s="1"/>
  <c r="G57" i="8"/>
  <c r="H57" i="8" s="1"/>
  <c r="G108" i="8"/>
  <c r="H108" i="8" s="1"/>
  <c r="G157" i="8"/>
  <c r="H157" i="8" s="1"/>
  <c r="G58" i="8"/>
  <c r="H58" i="8" s="1"/>
  <c r="G144" i="8"/>
  <c r="H144" i="8" s="1"/>
  <c r="G89" i="8"/>
  <c r="H89" i="8" s="1"/>
  <c r="G20" i="8"/>
  <c r="H20" i="8" s="1"/>
  <c r="G90" i="8"/>
  <c r="H90" i="8" s="1"/>
  <c r="G33" i="8"/>
  <c r="H33" i="8" s="1"/>
  <c r="G44" i="8"/>
  <c r="H44" i="8" s="1"/>
  <c r="G145" i="8"/>
  <c r="H145" i="8" s="1"/>
  <c r="G111" i="8"/>
  <c r="H111" i="8" s="1"/>
  <c r="G91" i="8"/>
  <c r="H91" i="8" s="1"/>
  <c r="G164" i="8"/>
  <c r="H164" i="8" s="1"/>
  <c r="G92" i="8"/>
  <c r="H92" i="8" s="1"/>
  <c r="G138" i="8"/>
  <c r="H138" i="8" s="1"/>
  <c r="G21" i="8"/>
  <c r="H21" i="8" s="1"/>
  <c r="G158" i="8"/>
  <c r="H158" i="8" s="1"/>
  <c r="G22" i="8"/>
  <c r="H22" i="8" s="1"/>
  <c r="G68" i="8"/>
  <c r="H68" i="8" s="1"/>
  <c r="G115" i="8"/>
  <c r="H115" i="8" s="1"/>
  <c r="G159" i="8"/>
  <c r="H159" i="8" s="1"/>
  <c r="G69" i="8"/>
  <c r="H69" i="8" s="1"/>
  <c r="G146" i="8"/>
  <c r="H146" i="8" s="1"/>
  <c r="G77" i="8"/>
  <c r="H77" i="8" s="1"/>
  <c r="G45" i="8"/>
  <c r="H45" i="8" s="1"/>
  <c r="G59" i="8"/>
  <c r="H59" i="8" s="1"/>
  <c r="G23" i="8"/>
  <c r="H23" i="8" s="1"/>
  <c r="G12" i="8"/>
  <c r="H12" i="8" s="1"/>
  <c r="G160" i="8"/>
  <c r="H160" i="8" s="1"/>
  <c r="G116" i="8"/>
  <c r="H116" i="8" s="1"/>
  <c r="G70" i="8"/>
  <c r="H70" i="8" s="1"/>
  <c r="G165" i="8"/>
  <c r="H165" i="8" s="1"/>
  <c r="G93" i="8"/>
  <c r="H93" i="8" s="1"/>
  <c r="G161" i="8"/>
  <c r="H161" i="8" s="1"/>
  <c r="G46" i="8"/>
  <c r="H46" i="8" s="1"/>
  <c r="G162" i="8"/>
  <c r="H162" i="8" s="1"/>
  <c r="G47" i="8"/>
  <c r="H47" i="8" s="1"/>
  <c r="G94" i="8"/>
  <c r="H94" i="8" s="1"/>
  <c r="G122" i="8"/>
  <c r="H122" i="8" s="1"/>
  <c r="G128" i="8"/>
  <c r="H128" i="8" s="1"/>
  <c r="G71" i="8"/>
  <c r="H71" i="8" s="1"/>
  <c r="G147" i="8"/>
  <c r="H147" i="8" s="1"/>
  <c r="G78" i="8"/>
  <c r="H78" i="8" s="1"/>
  <c r="G34" i="8"/>
  <c r="H34" i="8" s="1"/>
  <c r="G79" i="8"/>
  <c r="H79" i="8" s="1"/>
  <c r="G13" i="8"/>
  <c r="H13" i="8" s="1"/>
  <c r="G48" i="8"/>
  <c r="H48" i="8" s="1"/>
  <c r="G129" i="8"/>
  <c r="H129" i="8" s="1"/>
  <c r="G123" i="8"/>
  <c r="H123" i="8" s="1"/>
  <c r="G72" i="8"/>
  <c r="H72" i="8" s="1"/>
  <c r="G166" i="8"/>
  <c r="H166" i="8" s="1"/>
  <c r="G95" i="8"/>
  <c r="H95" i="8" s="1"/>
  <c r="G139" i="8"/>
  <c r="H139" i="8" s="1"/>
  <c r="G24" i="8"/>
  <c r="G140" i="8"/>
  <c r="H140" i="8" s="1"/>
  <c r="G35" i="8"/>
  <c r="H35" i="8" s="1"/>
  <c r="G80" i="8"/>
  <c r="H80" i="8" s="1"/>
  <c r="G117" i="8"/>
  <c r="H117" i="8" s="1"/>
  <c r="G148" i="8"/>
  <c r="H148" i="8" s="1"/>
  <c r="G60" i="8"/>
  <c r="H60" i="8" s="1"/>
  <c r="G49" i="8"/>
  <c r="H49" i="8" s="1"/>
  <c r="G14" i="8"/>
  <c r="H14" i="8" s="1"/>
  <c r="G173" i="8"/>
  <c r="H173" i="8" s="1"/>
  <c r="G73" i="8"/>
  <c r="H73" i="8" s="1"/>
  <c r="G130" i="8"/>
  <c r="H130" i="8" s="1"/>
  <c r="G50" i="8"/>
  <c r="H50" i="8" s="1"/>
  <c r="G141" i="8"/>
  <c r="H141" i="8" s="1"/>
  <c r="G51" i="8"/>
  <c r="H51" i="8" s="1"/>
  <c r="G96" i="8"/>
  <c r="H96" i="8" s="1"/>
  <c r="G124" i="8"/>
  <c r="H124" i="8" s="1"/>
  <c r="G131" i="8"/>
  <c r="H131" i="8" s="1"/>
  <c r="G97" i="8"/>
  <c r="H97" i="8" s="1"/>
  <c r="G149" i="8"/>
  <c r="H149" i="8" s="1"/>
  <c r="G74" i="8"/>
  <c r="H74" i="8" s="1"/>
  <c r="G15" i="8"/>
  <c r="H15" i="8" s="1"/>
  <c r="G98" i="8"/>
  <c r="H98" i="8" s="1"/>
  <c r="G52" i="8"/>
  <c r="H52" i="8" s="1"/>
  <c r="G53" i="8"/>
  <c r="H53" i="8" s="1"/>
  <c r="G163" i="8"/>
  <c r="H163" i="8" s="1"/>
  <c r="G125" i="8"/>
  <c r="H125" i="8" s="1"/>
  <c r="G99" i="8"/>
  <c r="H99" i="8" s="1"/>
  <c r="G174" i="8"/>
  <c r="H174" i="8" s="1"/>
  <c r="G61" i="8"/>
  <c r="H61" i="8" s="1"/>
  <c r="G142" i="8"/>
  <c r="H142" i="8" s="1"/>
  <c r="G106" i="8"/>
  <c r="H106" i="8" s="1"/>
  <c r="L5" i="6"/>
  <c r="K9" i="6"/>
  <c r="K8" i="6"/>
  <c r="K7" i="6"/>
  <c r="K6" i="6"/>
  <c r="K5" i="6"/>
  <c r="I9" i="6"/>
  <c r="L9" i="6" s="1"/>
  <c r="I8" i="6"/>
  <c r="L8" i="6" s="1"/>
  <c r="I7" i="6"/>
  <c r="L7" i="6" s="1"/>
  <c r="I6" i="6"/>
  <c r="L6" i="6" s="1"/>
  <c r="I5" i="6"/>
  <c r="G9" i="6"/>
  <c r="G8" i="6"/>
  <c r="G7" i="6"/>
  <c r="G6" i="6"/>
  <c r="G5" i="6"/>
  <c r="E9" i="6"/>
  <c r="E8" i="6"/>
  <c r="E7" i="6"/>
  <c r="E6" i="6"/>
  <c r="E5" i="6"/>
  <c r="C6" i="6"/>
  <c r="C7" i="6"/>
  <c r="C8" i="6"/>
  <c r="C9" i="6"/>
  <c r="C5" i="6"/>
  <c r="I22" i="5"/>
  <c r="J22" i="5"/>
  <c r="K22" i="5"/>
  <c r="I23" i="5"/>
  <c r="J23" i="5"/>
  <c r="K23" i="5"/>
  <c r="I24" i="5"/>
  <c r="J24" i="5"/>
  <c r="K24" i="5"/>
  <c r="H24" i="5"/>
  <c r="H23" i="5"/>
  <c r="H22" i="5"/>
  <c r="D22" i="5"/>
  <c r="E22" i="5"/>
  <c r="F22" i="5"/>
  <c r="D23" i="5"/>
  <c r="E23" i="5"/>
  <c r="F23" i="5"/>
  <c r="D24" i="5"/>
  <c r="E24" i="5"/>
  <c r="F24" i="5"/>
  <c r="C24" i="5"/>
  <c r="C23" i="5"/>
  <c r="C22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K4" i="5"/>
  <c r="J4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4" i="5"/>
  <c r="AD25" i="4"/>
  <c r="AD24" i="4"/>
  <c r="AD23" i="4"/>
  <c r="AD22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4" i="4"/>
  <c r="U4" i="4"/>
  <c r="T4" i="4"/>
  <c r="V4" i="4"/>
  <c r="W4" i="4"/>
  <c r="T5" i="4"/>
  <c r="U5" i="4"/>
  <c r="V5" i="4"/>
  <c r="W5" i="4"/>
  <c r="T6" i="4"/>
  <c r="U6" i="4"/>
  <c r="V6" i="4"/>
  <c r="W6" i="4"/>
  <c r="T7" i="4"/>
  <c r="U7" i="4"/>
  <c r="V7" i="4"/>
  <c r="W7" i="4"/>
  <c r="T8" i="4"/>
  <c r="U8" i="4"/>
  <c r="V8" i="4"/>
  <c r="W8" i="4"/>
  <c r="T9" i="4"/>
  <c r="U9" i="4"/>
  <c r="V9" i="4"/>
  <c r="W9" i="4"/>
  <c r="T10" i="4"/>
  <c r="U10" i="4"/>
  <c r="V10" i="4"/>
  <c r="W10" i="4"/>
  <c r="T11" i="4"/>
  <c r="U11" i="4"/>
  <c r="V11" i="4"/>
  <c r="W11" i="4"/>
  <c r="T12" i="4"/>
  <c r="U12" i="4"/>
  <c r="V12" i="4"/>
  <c r="W12" i="4"/>
  <c r="T13" i="4"/>
  <c r="U13" i="4"/>
  <c r="V13" i="4"/>
  <c r="W13" i="4"/>
  <c r="T14" i="4"/>
  <c r="U14" i="4"/>
  <c r="V14" i="4"/>
  <c r="W14" i="4"/>
  <c r="T15" i="4"/>
  <c r="U15" i="4"/>
  <c r="V15" i="4"/>
  <c r="W15" i="4"/>
  <c r="T16" i="4"/>
  <c r="U16" i="4"/>
  <c r="V16" i="4"/>
  <c r="W16" i="4"/>
  <c r="T17" i="4"/>
  <c r="U17" i="4"/>
  <c r="V17" i="4"/>
  <c r="W17" i="4"/>
  <c r="T18" i="4"/>
  <c r="U18" i="4"/>
  <c r="V18" i="4"/>
  <c r="W18" i="4"/>
  <c r="T19" i="4"/>
  <c r="U19" i="4"/>
  <c r="V19" i="4"/>
  <c r="W19" i="4"/>
  <c r="T20" i="4"/>
  <c r="U20" i="4"/>
  <c r="V20" i="4"/>
  <c r="W20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4" i="4"/>
  <c r="M4" i="4"/>
  <c r="L4" i="4"/>
  <c r="K4" i="4"/>
  <c r="J4" i="4"/>
  <c r="J5" i="4"/>
  <c r="K5" i="4"/>
  <c r="L5" i="4"/>
  <c r="M5" i="4"/>
  <c r="J6" i="4"/>
  <c r="K6" i="4"/>
  <c r="L6" i="4"/>
  <c r="M6" i="4"/>
  <c r="J7" i="4"/>
  <c r="K7" i="4"/>
  <c r="L7" i="4"/>
  <c r="M7" i="4"/>
  <c r="J8" i="4"/>
  <c r="K8" i="4"/>
  <c r="L8" i="4"/>
  <c r="M8" i="4"/>
  <c r="J9" i="4"/>
  <c r="K9" i="4"/>
  <c r="L9" i="4"/>
  <c r="M9" i="4"/>
  <c r="J10" i="4"/>
  <c r="K10" i="4"/>
  <c r="L10" i="4"/>
  <c r="M10" i="4"/>
  <c r="J11" i="4"/>
  <c r="K11" i="4"/>
  <c r="L11" i="4"/>
  <c r="M11" i="4"/>
  <c r="J12" i="4"/>
  <c r="K12" i="4"/>
  <c r="L12" i="4"/>
  <c r="M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M18" i="4"/>
  <c r="J19" i="4"/>
  <c r="K19" i="4"/>
  <c r="L19" i="4"/>
  <c r="M19" i="4"/>
  <c r="J20" i="4"/>
  <c r="K20" i="4"/>
  <c r="L20" i="4"/>
  <c r="M2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4" i="4"/>
  <c r="E3" i="4"/>
  <c r="F3" i="4" s="1"/>
  <c r="G3" i="4" s="1"/>
  <c r="H3" i="4" s="1"/>
  <c r="E22" i="4"/>
  <c r="F22" i="4"/>
  <c r="G22" i="4"/>
  <c r="H22" i="4"/>
  <c r="E23" i="4"/>
  <c r="F23" i="4"/>
  <c r="G23" i="4"/>
  <c r="H23" i="4"/>
  <c r="E24" i="4"/>
  <c r="F24" i="4"/>
  <c r="G24" i="4"/>
  <c r="H24" i="4"/>
  <c r="E25" i="4"/>
  <c r="F25" i="4"/>
  <c r="G25" i="4"/>
  <c r="H25" i="4"/>
  <c r="O4" i="4"/>
  <c r="P4" i="4"/>
  <c r="Q4" i="4"/>
  <c r="R4" i="4"/>
  <c r="O5" i="4"/>
  <c r="P5" i="4"/>
  <c r="Q5" i="4"/>
  <c r="R5" i="4"/>
  <c r="O6" i="4"/>
  <c r="P6" i="4"/>
  <c r="Q6" i="4"/>
  <c r="R6" i="4"/>
  <c r="O7" i="4"/>
  <c r="P7" i="4"/>
  <c r="Q7" i="4"/>
  <c r="R7" i="4"/>
  <c r="O8" i="4"/>
  <c r="P8" i="4"/>
  <c r="Q8" i="4"/>
  <c r="R8" i="4"/>
  <c r="O9" i="4"/>
  <c r="P9" i="4"/>
  <c r="Q9" i="4"/>
  <c r="R9" i="4"/>
  <c r="O10" i="4"/>
  <c r="P10" i="4"/>
  <c r="Q10" i="4"/>
  <c r="R10" i="4"/>
  <c r="O11" i="4"/>
  <c r="P11" i="4"/>
  <c r="Q11" i="4"/>
  <c r="R11" i="4"/>
  <c r="O12" i="4"/>
  <c r="P12" i="4"/>
  <c r="Q12" i="4"/>
  <c r="R12" i="4"/>
  <c r="O13" i="4"/>
  <c r="P13" i="4"/>
  <c r="Q13" i="4"/>
  <c r="R13" i="4"/>
  <c r="O14" i="4"/>
  <c r="P14" i="4"/>
  <c r="Q14" i="4"/>
  <c r="R14" i="4"/>
  <c r="O15" i="4"/>
  <c r="P15" i="4"/>
  <c r="Q15" i="4"/>
  <c r="R15" i="4"/>
  <c r="O16" i="4"/>
  <c r="P16" i="4"/>
  <c r="Q16" i="4"/>
  <c r="R16" i="4"/>
  <c r="O17" i="4"/>
  <c r="P17" i="4"/>
  <c r="Q17" i="4"/>
  <c r="R17" i="4"/>
  <c r="O18" i="4"/>
  <c r="P18" i="4"/>
  <c r="Q18" i="4"/>
  <c r="R18" i="4"/>
  <c r="O19" i="4"/>
  <c r="P19" i="4"/>
  <c r="Q19" i="4"/>
  <c r="R19" i="4"/>
  <c r="O20" i="4"/>
  <c r="P20" i="4"/>
  <c r="Q20" i="4"/>
  <c r="R20" i="4"/>
  <c r="D25" i="4"/>
  <c r="D24" i="4"/>
  <c r="C24" i="4"/>
  <c r="D23" i="4"/>
  <c r="C23" i="4"/>
  <c r="D22" i="4"/>
  <c r="C22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4" i="3"/>
  <c r="D25" i="3"/>
  <c r="D24" i="3"/>
  <c r="C24" i="3"/>
  <c r="D23" i="3"/>
  <c r="C23" i="3"/>
  <c r="D22" i="3"/>
  <c r="C22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25" i="3" s="1"/>
  <c r="E25" i="2"/>
  <c r="D25" i="2"/>
  <c r="E22" i="2"/>
  <c r="E23" i="2"/>
  <c r="E24" i="2"/>
  <c r="D24" i="2"/>
  <c r="D23" i="2"/>
  <c r="D22" i="2"/>
  <c r="C24" i="2"/>
  <c r="C23" i="2"/>
  <c r="C22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4" i="2"/>
  <c r="C30" i="11" l="1"/>
  <c r="C5" i="11"/>
  <c r="N35" i="11"/>
  <c r="N12" i="11"/>
  <c r="N20" i="11"/>
  <c r="N52" i="11"/>
  <c r="C11" i="11"/>
  <c r="C49" i="11"/>
  <c r="C2" i="11"/>
  <c r="C19" i="11"/>
  <c r="N23" i="11"/>
  <c r="N51" i="11"/>
  <c r="N8" i="11"/>
  <c r="C14" i="11"/>
  <c r="C9" i="11"/>
  <c r="C13" i="11"/>
  <c r="C37" i="11"/>
  <c r="C29" i="11"/>
  <c r="C45" i="11"/>
  <c r="C36" i="11"/>
  <c r="N24" i="11"/>
  <c r="C10" i="11"/>
  <c r="C17" i="11"/>
  <c r="C7" i="11"/>
  <c r="C28" i="11"/>
  <c r="C53" i="11"/>
  <c r="C46" i="11"/>
  <c r="C47" i="11"/>
  <c r="C21" i="11"/>
  <c r="C22" i="11"/>
  <c r="C6" i="11"/>
  <c r="N26" i="11"/>
  <c r="C43" i="11"/>
  <c r="N18" i="11"/>
  <c r="N42" i="11"/>
  <c r="AA16" i="4"/>
  <c r="AA10" i="4"/>
  <c r="Z19" i="4"/>
  <c r="Z13" i="4"/>
  <c r="Y19" i="4"/>
  <c r="Y13" i="4"/>
  <c r="Y10" i="4"/>
  <c r="AA19" i="4"/>
  <c r="AA13" i="4"/>
  <c r="AA7" i="4"/>
  <c r="Z10" i="4"/>
  <c r="AB18" i="4"/>
  <c r="AB12" i="4"/>
  <c r="AB9" i="4"/>
  <c r="Z7" i="4"/>
  <c r="K24" i="4"/>
  <c r="S25" i="4"/>
  <c r="Y16" i="4"/>
  <c r="Y7" i="4"/>
  <c r="AB6" i="4"/>
  <c r="AA18" i="4"/>
  <c r="AA12" i="4"/>
  <c r="AA6" i="4"/>
  <c r="Z18" i="4"/>
  <c r="Z12" i="4"/>
  <c r="Z6" i="4"/>
  <c r="Y15" i="4"/>
  <c r="Y9" i="4"/>
  <c r="J23" i="4"/>
  <c r="AB17" i="4"/>
  <c r="AB11" i="4"/>
  <c r="AB5" i="4"/>
  <c r="AA17" i="4"/>
  <c r="AA11" i="4"/>
  <c r="L25" i="4"/>
  <c r="J25" i="4"/>
  <c r="L23" i="4"/>
  <c r="Z16" i="4"/>
  <c r="J24" i="4"/>
  <c r="AB15" i="4"/>
  <c r="AA15" i="4"/>
  <c r="AA9" i="4"/>
  <c r="Z15" i="4"/>
  <c r="Z9" i="4"/>
  <c r="S22" i="4"/>
  <c r="Y18" i="4"/>
  <c r="Y12" i="4"/>
  <c r="AB20" i="4"/>
  <c r="AB14" i="4"/>
  <c r="AB8" i="4"/>
  <c r="AA20" i="4"/>
  <c r="AA14" i="4"/>
  <c r="AA8" i="4"/>
  <c r="K22" i="4"/>
  <c r="M23" i="4"/>
  <c r="U24" i="4"/>
  <c r="T25" i="4"/>
  <c r="Z20" i="4"/>
  <c r="Z17" i="4"/>
  <c r="Z11" i="4"/>
  <c r="Z8" i="4"/>
  <c r="V22" i="4"/>
  <c r="V25" i="4"/>
  <c r="V24" i="4"/>
  <c r="V23" i="4"/>
  <c r="Z14" i="4"/>
  <c r="Y20" i="4"/>
  <c r="Y17" i="4"/>
  <c r="Y14" i="4"/>
  <c r="Y11" i="4"/>
  <c r="Y8" i="4"/>
  <c r="W22" i="4"/>
  <c r="W25" i="4"/>
  <c r="W24" i="4"/>
  <c r="W23" i="4"/>
  <c r="AB19" i="4"/>
  <c r="AB16" i="4"/>
  <c r="AB13" i="4"/>
  <c r="AB10" i="4"/>
  <c r="AB7" i="4"/>
  <c r="U22" i="4"/>
  <c r="Y5" i="4"/>
  <c r="AB4" i="4"/>
  <c r="AA4" i="4"/>
  <c r="L24" i="4"/>
  <c r="S23" i="4"/>
  <c r="T22" i="4"/>
  <c r="M22" i="4"/>
  <c r="Z5" i="4"/>
  <c r="Z4" i="4"/>
  <c r="S24" i="4"/>
  <c r="U23" i="4"/>
  <c r="K23" i="4"/>
  <c r="M25" i="4"/>
  <c r="L22" i="4"/>
  <c r="K25" i="4"/>
  <c r="T24" i="4"/>
  <c r="Y4" i="4"/>
  <c r="T23" i="4"/>
  <c r="Y6" i="4"/>
  <c r="AA5" i="4"/>
  <c r="J22" i="4"/>
  <c r="M24" i="4"/>
  <c r="U25" i="4"/>
  <c r="X8" i="4"/>
  <c r="X14" i="4"/>
  <c r="X20" i="4"/>
  <c r="X5" i="4"/>
  <c r="X11" i="4"/>
  <c r="X17" i="4"/>
  <c r="X15" i="4"/>
  <c r="X6" i="4"/>
  <c r="X12" i="4"/>
  <c r="I25" i="4"/>
  <c r="X9" i="4"/>
  <c r="X18" i="4"/>
  <c r="X10" i="4"/>
  <c r="X19" i="4"/>
  <c r="X16" i="4"/>
  <c r="X7" i="4"/>
  <c r="X13" i="4"/>
  <c r="I22" i="4"/>
  <c r="I23" i="4"/>
  <c r="X4" i="4"/>
  <c r="I24" i="4"/>
  <c r="F22" i="3"/>
  <c r="F23" i="3"/>
  <c r="F24" i="3"/>
  <c r="X24" i="4" l="1"/>
  <c r="X22" i="4"/>
  <c r="X25" i="4"/>
  <c r="X23" i="4"/>
  <c r="Y24" i="4"/>
  <c r="Y23" i="4"/>
  <c r="Y22" i="4"/>
  <c r="Y25" i="4"/>
  <c r="AA22" i="4"/>
  <c r="AA24" i="4"/>
  <c r="AA25" i="4"/>
  <c r="AA23" i="4"/>
  <c r="Z24" i="4"/>
  <c r="Z22" i="4"/>
  <c r="Z25" i="4"/>
  <c r="Z23" i="4"/>
  <c r="AB25" i="4"/>
  <c r="AB22" i="4"/>
  <c r="AB23" i="4"/>
  <c r="AB24" i="4"/>
</calcChain>
</file>

<file path=xl/sharedStrings.xml><?xml version="1.0" encoding="utf-8"?>
<sst xmlns="http://schemas.openxmlformats.org/spreadsheetml/2006/main" count="1362" uniqueCount="293">
  <si>
    <t>Payroll</t>
  </si>
  <si>
    <t>Gradebook</t>
  </si>
  <si>
    <t>Decision Factors</t>
  </si>
  <si>
    <t>Source:</t>
  </si>
  <si>
    <t>https://www.youtube.com/watch?v=Vl0H-qTclOg</t>
  </si>
  <si>
    <t>FreeCodeCamp</t>
  </si>
  <si>
    <t>Shad Sluiter</t>
  </si>
  <si>
    <t>Teacher:</t>
  </si>
  <si>
    <t>Excel Practice with Projects:</t>
  </si>
  <si>
    <t>Sales Database</t>
  </si>
  <si>
    <t>Car Inventory</t>
  </si>
  <si>
    <t>Problem Solving Templates</t>
  </si>
  <si>
    <t>Learning points</t>
  </si>
  <si>
    <t>Enter data, navigate through a spread sheet</t>
  </si>
  <si>
    <t>Create formulas to solve problems</t>
  </si>
  <si>
    <t>Charts &amp; graphs</t>
  </si>
  <si>
    <t>Relative vs absolute references</t>
  </si>
  <si>
    <t>Import and export text data or CSV files</t>
  </si>
  <si>
    <t>VLOOKUP</t>
  </si>
  <si>
    <t>Pivot Tables</t>
  </si>
  <si>
    <t>Split and concatenate text</t>
  </si>
  <si>
    <t>Employee Payroll</t>
  </si>
  <si>
    <t>Last Name</t>
  </si>
  <si>
    <t>First Name</t>
  </si>
  <si>
    <t>Hourly Wage</t>
  </si>
  <si>
    <t>Hours Worked</t>
  </si>
  <si>
    <t>Pay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</si>
  <si>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</si>
  <si>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</si>
  <si>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</si>
  <si>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</si>
  <si>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</si>
  <si>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</si>
  <si>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</si>
  <si>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</si>
  <si>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</si>
  <si>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</si>
  <si>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</si>
  <si>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</si>
  <si>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</si>
  <si>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</si>
  <si>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</si>
  <si>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</si>
  <si>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</si>
  <si>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</si>
  <si>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</si>
  <si>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</si>
  <si>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</si>
  <si>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</si>
  <si>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</si>
  <si>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</si>
  <si>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</si>
  <si>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</si>
  <si>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</si>
  <si>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</si>
  <si>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</si>
  <si>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</si>
  <si>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</si>
  <si>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</si>
  <si>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</si>
  <si>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</si>
  <si>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</si>
  <si>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</si>
  <si>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</si>
  <si>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</si>
  <si>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Ms. Surabhi</t>
  </si>
  <si>
    <t>Overtime Hours</t>
  </si>
  <si>
    <t>Use of IF:</t>
  </si>
  <si>
    <t>Total Pay</t>
  </si>
  <si>
    <t>OT Bonus</t>
  </si>
  <si>
    <t>Jan Pay</t>
  </si>
  <si>
    <t>Safety Test</t>
  </si>
  <si>
    <t>Company Philosophy Test</t>
  </si>
  <si>
    <t>Financial Skills Test</t>
  </si>
  <si>
    <t>Drug Test</t>
  </si>
  <si>
    <t>Point Possible</t>
  </si>
  <si>
    <t>Fire Employee?</t>
  </si>
  <si>
    <t>Career Decisions</t>
  </si>
  <si>
    <t>Job</t>
  </si>
  <si>
    <t>McDonalds Manager</t>
  </si>
  <si>
    <t>Doctor</t>
  </si>
  <si>
    <t>NFL</t>
  </si>
  <si>
    <t>Engineer</t>
  </si>
  <si>
    <t>Truck Driver</t>
  </si>
  <si>
    <t>Job Market</t>
  </si>
  <si>
    <t>Enjoyment</t>
  </si>
  <si>
    <t>My Talent</t>
  </si>
  <si>
    <t>Schooling</t>
  </si>
  <si>
    <t>Weightage of each factor</t>
  </si>
  <si>
    <t>Rating(1-5) for each job under each factor</t>
  </si>
  <si>
    <t>Decision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</si>
  <si>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</si>
  <si>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</si>
  <si>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</si>
  <si>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</si>
  <si>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</si>
  <si>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</si>
  <si>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</si>
  <si>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Sale Location</t>
  </si>
  <si>
    <t>Jan</t>
  </si>
  <si>
    <t>Pool Cover</t>
  </si>
  <si>
    <t>NM</t>
  </si>
  <si>
    <t>Net</t>
  </si>
  <si>
    <t>CA</t>
  </si>
  <si>
    <t>8 ft Hose</t>
  </si>
  <si>
    <t>AZ</t>
  </si>
  <si>
    <t>Water Pump</t>
  </si>
  <si>
    <t>Chlorine Test Kit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</si>
  <si>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</si>
  <si>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</si>
  <si>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</si>
  <si>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</si>
  <si>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</si>
  <si>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</si>
  <si>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</si>
  <si>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</si>
  <si>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</si>
  <si>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</si>
  <si>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</si>
  <si>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</si>
  <si>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</si>
  <si>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</si>
  <si>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</si>
  <si>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</si>
  <si>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</si>
  <si>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</si>
  <si>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</si>
  <si>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Crystal Pools Sales Report</t>
  </si>
  <si>
    <t>Commision 10% for items less than $50, 20% for items more than $50</t>
  </si>
  <si>
    <t>Operations for this project</t>
  </si>
  <si>
    <t>text to column</t>
  </si>
  <si>
    <t>if</t>
  </si>
  <si>
    <t>sumif</t>
  </si>
  <si>
    <t>sort</t>
  </si>
  <si>
    <t>filter</t>
  </si>
  <si>
    <t>pivot tables</t>
  </si>
  <si>
    <t>pie chart</t>
  </si>
  <si>
    <t>Separating Sales person name by last name and first name</t>
  </si>
  <si>
    <t>Chalie</t>
  </si>
  <si>
    <t>Barns</t>
  </si>
  <si>
    <t>Juan</t>
  </si>
  <si>
    <t>Hernandez</t>
  </si>
  <si>
    <t>Doug</t>
  </si>
  <si>
    <t>Hellen</t>
  </si>
  <si>
    <t>Johnson</t>
  </si>
  <si>
    <t>Sum of all items</t>
  </si>
  <si>
    <t>Sum of items valued at more than $50</t>
  </si>
  <si>
    <t>Sum of items valued at $50 or less</t>
  </si>
  <si>
    <t>Row Labels</t>
  </si>
  <si>
    <t>Grand Total</t>
  </si>
  <si>
    <t>Sum of Sale Price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</si>
  <si>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</si>
  <si>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</si>
  <si>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</si>
  <si>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</si>
  <si>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</si>
  <si>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</si>
  <si>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</si>
  <si>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</si>
  <si>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</si>
  <si>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</si>
  <si>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</si>
  <si>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</si>
  <si>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</si>
  <si>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</si>
  <si>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</si>
  <si>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</si>
  <si>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</si>
  <si>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</si>
  <si>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</si>
  <si>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</si>
  <si>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</si>
  <si>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</si>
  <si>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</si>
  <si>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</si>
  <si>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</si>
  <si>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</si>
  <si>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</si>
  <si>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</si>
  <si>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</si>
  <si>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</si>
  <si>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</si>
  <si>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</si>
  <si>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</si>
  <si>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</si>
  <si>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</si>
  <si>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</si>
  <si>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</si>
  <si>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</si>
  <si>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</si>
  <si>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</si>
  <si>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</si>
  <si>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</si>
  <si>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</si>
  <si>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</si>
  <si>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</si>
  <si>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</si>
  <si>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</si>
  <si>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</si>
  <si>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</si>
  <si>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</si>
  <si>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</si>
  <si>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</si>
  <si>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</si>
  <si>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</si>
  <si>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</si>
  <si>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</si>
  <si>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</si>
  <si>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</si>
  <si>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</si>
  <si>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</si>
  <si>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</si>
  <si>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</si>
  <si>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</si>
  <si>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</si>
  <si>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</si>
  <si>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</si>
  <si>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</si>
  <si>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</si>
  <si>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</si>
  <si>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</si>
  <si>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</si>
  <si>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</si>
  <si>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</si>
  <si>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</si>
  <si>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</si>
  <si>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</si>
  <si>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</si>
  <si>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</si>
  <si>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</si>
  <si>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</si>
  <si>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</si>
  <si>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</si>
  <si>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</si>
  <si>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</si>
  <si>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</si>
  <si>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</si>
  <si>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</si>
  <si>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</si>
  <si>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</si>
  <si>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</si>
  <si>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</si>
  <si>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</si>
  <si>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Mortors</t>
  </si>
  <si>
    <t>Ford</t>
  </si>
  <si>
    <t>CAM</t>
  </si>
  <si>
    <t>Camrey</t>
  </si>
  <si>
    <t>ELA</t>
  </si>
  <si>
    <t>Elantra</t>
  </si>
  <si>
    <t>FCS</t>
  </si>
  <si>
    <t>Focus</t>
  </si>
  <si>
    <t>CMR</t>
  </si>
  <si>
    <t>Camero</t>
  </si>
  <si>
    <t>COR</t>
  </si>
  <si>
    <t>Corola</t>
  </si>
  <si>
    <t>CAR</t>
  </si>
  <si>
    <t>Caravan</t>
  </si>
  <si>
    <t>CIV</t>
  </si>
  <si>
    <t>Civic</t>
  </si>
  <si>
    <t>MTG</t>
  </si>
  <si>
    <t>Mustang</t>
  </si>
  <si>
    <t>ODY</t>
  </si>
  <si>
    <t>Odyssey</t>
  </si>
  <si>
    <t>PTC</t>
  </si>
  <si>
    <t>PT Cruiser</t>
  </si>
  <si>
    <t>SLV</t>
  </si>
  <si>
    <t>Silverado</t>
  </si>
  <si>
    <t>HO01ODY040</t>
  </si>
  <si>
    <t>FD06FCS006</t>
  </si>
  <si>
    <t>GM09CMR014</t>
  </si>
  <si>
    <t>HO05ODY037</t>
  </si>
  <si>
    <t>left</t>
  </si>
  <si>
    <t>mid</t>
  </si>
  <si>
    <t>right</t>
  </si>
  <si>
    <t>vlookup</t>
  </si>
  <si>
    <t>concat</t>
  </si>
  <si>
    <t>import text file to excel</t>
  </si>
  <si>
    <t>Operations</t>
  </si>
  <si>
    <t>Sum of Miles</t>
  </si>
  <si>
    <t>conditional formatting</t>
  </si>
  <si>
    <t>pivot table</t>
  </si>
  <si>
    <t>Scatter chart</t>
  </si>
  <si>
    <t>Sorting whole data by miles/year largest to smallest</t>
  </si>
  <si>
    <t>Principal</t>
  </si>
  <si>
    <t>Interest Rate</t>
  </si>
  <si>
    <t>Months</t>
  </si>
  <si>
    <t>Interest Paid</t>
  </si>
  <si>
    <t>Monthly Payments</t>
  </si>
  <si>
    <t>Loan A</t>
  </si>
  <si>
    <t>Loan B</t>
  </si>
  <si>
    <t>Loan C</t>
  </si>
  <si>
    <t>Loan D</t>
  </si>
  <si>
    <t>Total Loan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</si>
</sst>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6" formatCode="_-[$$-409]* #,##0.00_ ;_-[$$-409]* \-#,##0.00\ ;_-[$$-409]* &quot;-&quot;??_ ;_-@_ "/>
    <numFmt numFmtId="167" formatCode="_ * #,##0.0_ ;_ * \-#,##0.0_ ;_ * &quot;-&quot;??_ ;_ @_ "/>
    <numFmt numFmtId="168" formatCode="_(* #,##0.00_);_(* \(#,##0.00\);_(* &quot;-&quot;??_);_(@_)"/>
    <numFmt numFmtId="169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8" fontId="3" fillId="0" borderId="0" applyFont="0" applyFill="0" applyBorder="0" applyAlignment="0" applyProtection="0"/>
  </cellStyleXfs>
  <cellXfs count="46">
    <xf numFmtId="0" fontId="0" fillId="0" borderId="0" xfId="0"/>
    <xf numFmtId="17" fontId="0" fillId="0" borderId="0" xfId="0" applyNumberFormat="1"/>
    <xf numFmtId="0" fontId="0" fillId="0" borderId="0" xfId="0" applyNumberFormat="1"/>
    <xf numFmtId="43" fontId="0" fillId="0" borderId="0" xfId="1" applyFont="1"/>
    <xf numFmtId="166" fontId="0" fillId="0" borderId="0" xfId="1" applyNumberFormat="1" applyFont="1"/>
    <xf numFmtId="166" fontId="0" fillId="0" borderId="0" xfId="0" applyNumberFormat="1"/>
    <xf numFmtId="167" fontId="0" fillId="0" borderId="0" xfId="1" applyNumberFormat="1" applyFont="1"/>
    <xf numFmtId="0" fontId="0" fillId="2" borderId="0" xfId="0" applyFill="1"/>
    <xf numFmtId="0" fontId="0" fillId="3" borderId="0" xfId="0" applyFill="1"/>
    <xf numFmtId="17" fontId="0" fillId="3" borderId="0" xfId="0" applyNumberFormat="1" applyFill="1"/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166" fontId="0" fillId="5" borderId="0" xfId="0" applyNumberFormat="1" applyFill="1"/>
    <xf numFmtId="0" fontId="0" fillId="6" borderId="0" xfId="0" applyFill="1"/>
    <xf numFmtId="166" fontId="0" fillId="6" borderId="0" xfId="0" applyNumberFormat="1" applyFill="1"/>
    <xf numFmtId="0" fontId="0" fillId="0" borderId="0" xfId="0" applyFill="1"/>
    <xf numFmtId="14" fontId="0" fillId="3" borderId="0" xfId="0" applyNumberFormat="1" applyFill="1"/>
    <xf numFmtId="14" fontId="0" fillId="4" borderId="0" xfId="0" applyNumberFormat="1" applyFill="1"/>
    <xf numFmtId="0" fontId="0" fillId="7" borderId="0" xfId="0" applyFill="1"/>
    <xf numFmtId="14" fontId="0" fillId="7" borderId="0" xfId="0" applyNumberFormat="1" applyFill="1"/>
    <xf numFmtId="14" fontId="0" fillId="5" borderId="0" xfId="0" applyNumberFormat="1" applyFill="1"/>
    <xf numFmtId="0" fontId="0" fillId="8" borderId="0" xfId="0" applyFill="1"/>
    <xf numFmtId="14" fontId="0" fillId="8" borderId="0" xfId="0" applyNumberFormat="1" applyFill="1"/>
    <xf numFmtId="166" fontId="0" fillId="8" borderId="0" xfId="0" applyNumberFormat="1" applyFill="1"/>
    <xf numFmtId="166" fontId="0" fillId="2" borderId="0" xfId="0" applyNumberFormat="1" applyFill="1"/>
    <xf numFmtId="166" fontId="0" fillId="2" borderId="0" xfId="1" applyNumberFormat="1" applyFont="1" applyFill="1"/>
    <xf numFmtId="0" fontId="0" fillId="0" borderId="0" xfId="0" applyAlignment="1">
      <alignment textRotation="90"/>
    </xf>
    <xf numFmtId="9" fontId="0" fillId="0" borderId="0" xfId="2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0" borderId="0" xfId="3"/>
    <xf numFmtId="14" fontId="0" fillId="0" borderId="0" xfId="4" applyNumberFormat="1" applyFont="1"/>
    <xf numFmtId="169" fontId="0" fillId="0" borderId="0" xfId="4" applyNumberFormat="1" applyFont="1"/>
    <xf numFmtId="0" fontId="2" fillId="0" borderId="0" xfId="3" applyAlignment="1">
      <alignment wrapText="1"/>
    </xf>
    <xf numFmtId="166" fontId="2" fillId="0" borderId="0" xfId="3" applyNumberFormat="1"/>
    <xf numFmtId="166" fontId="2" fillId="0" borderId="0" xfId="1" applyNumberFormat="1" applyFont="1"/>
    <xf numFmtId="166" fontId="2" fillId="0" borderId="0" xfId="1" applyNumberFormat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3" fontId="0" fillId="0" borderId="0" xfId="1" applyNumberFormat="1" applyFont="1" applyAlignment="1">
      <alignment wrapText="1"/>
    </xf>
    <xf numFmtId="43" fontId="0" fillId="0" borderId="0" xfId="1" applyNumberFormat="1" applyFont="1"/>
    <xf numFmtId="9" fontId="0" fillId="0" borderId="0" xfId="0" applyNumberFormat="1"/>
  </cellXfs>
  <cellStyles count="5">
    <cellStyle name="Comma" xfId="1" builtinId="3"/>
    <cellStyle name="Comma 2" xfId="4" xr:uid="{62398188-0F63-4DFB-9314-7C73FDD84E13}"/>
    <cellStyle name="Normal" xfId="0" builtinId="0"/>
    <cellStyle name="Normal 2" xfId="3" xr:uid="{E0E42269-B8B1-45AE-B968-38586AB0C3AC}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P2_Gradebook!$A$4:$A$20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P2_Gradebook!$C$4:$C$20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6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E-45BD-A8DC-668C85B09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931200"/>
        <c:axId val="2068980800"/>
      </c:barChart>
      <c:catAx>
        <c:axId val="20839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80800"/>
        <c:crosses val="autoZero"/>
        <c:auto val="1"/>
        <c:lblAlgn val="ctr"/>
        <c:lblOffset val="100"/>
        <c:noMultiLvlLbl val="0"/>
      </c:catAx>
      <c:valAx>
        <c:axId val="20689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Philisophy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P2_Gradebook!$A$4:$A$20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P2_Gradebook!$D$4:$D$20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3-4D16-A1A5-81F81747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931200"/>
        <c:axId val="2068980800"/>
      </c:barChart>
      <c:catAx>
        <c:axId val="20839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80800"/>
        <c:crosses val="autoZero"/>
        <c:auto val="1"/>
        <c:lblAlgn val="ctr"/>
        <c:lblOffset val="100"/>
        <c:noMultiLvlLbl val="0"/>
      </c:catAx>
      <c:valAx>
        <c:axId val="20689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Skills </a:t>
            </a:r>
            <a:r>
              <a:rPr lang="en-IN"/>
              <a:t>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P2_Gradebook!$A$4:$A$20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P2_Gradebook!$E$4:$E$20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0-408B-9529-3A9E0A276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931200"/>
        <c:axId val="2068980800"/>
      </c:barChart>
      <c:catAx>
        <c:axId val="20839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80800"/>
        <c:crosses val="autoZero"/>
        <c:auto val="1"/>
        <c:lblAlgn val="ctr"/>
        <c:lblOffset val="100"/>
        <c:noMultiLvlLbl val="0"/>
      </c:catAx>
      <c:valAx>
        <c:axId val="20689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 Practice_FreeCodeCamp.xlsx]P4_Pivot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'P4_Pivot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'P4_Pivot table'!$A$4:$A$8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'P4_Pivot table'!$B$4:$B$8</c:f>
              <c:numCache>
                <c:formatCode>_-[$$-409]* #,##0.00_ ;_-[$$-409]* \-#,##0.00\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A42-B581-43807D27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vs 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'P5_Car Inventory'!$G$2:$G$53</c:f>
              <c:numCache>
                <c:formatCode>General</c:formatCode>
                <c:ptCount val="52"/>
                <c:pt idx="0">
                  <c:v>27</c:v>
                </c:pt>
                <c:pt idx="1">
                  <c:v>19</c:v>
                </c:pt>
                <c:pt idx="2">
                  <c:v>23</c:v>
                </c:pt>
                <c:pt idx="3">
                  <c:v>25</c:v>
                </c:pt>
                <c:pt idx="4">
                  <c:v>20</c:v>
                </c:pt>
                <c:pt idx="5">
                  <c:v>23</c:v>
                </c:pt>
                <c:pt idx="6">
                  <c:v>14</c:v>
                </c:pt>
                <c:pt idx="7">
                  <c:v>24</c:v>
                </c:pt>
                <c:pt idx="8">
                  <c:v>19</c:v>
                </c:pt>
                <c:pt idx="9">
                  <c:v>23</c:v>
                </c:pt>
                <c:pt idx="10">
                  <c:v>18</c:v>
                </c:pt>
                <c:pt idx="11">
                  <c:v>25</c:v>
                </c:pt>
                <c:pt idx="12">
                  <c:v>24</c:v>
                </c:pt>
                <c:pt idx="13">
                  <c:v>21</c:v>
                </c:pt>
                <c:pt idx="14">
                  <c:v>16</c:v>
                </c:pt>
                <c:pt idx="15">
                  <c:v>22</c:v>
                </c:pt>
                <c:pt idx="16">
                  <c:v>22</c:v>
                </c:pt>
                <c:pt idx="17">
                  <c:v>17</c:v>
                </c:pt>
                <c:pt idx="18">
                  <c:v>21</c:v>
                </c:pt>
                <c:pt idx="19">
                  <c:v>15</c:v>
                </c:pt>
                <c:pt idx="20">
                  <c:v>15</c:v>
                </c:pt>
                <c:pt idx="21">
                  <c:v>19</c:v>
                </c:pt>
                <c:pt idx="22">
                  <c:v>10</c:v>
                </c:pt>
                <c:pt idx="23">
                  <c:v>10</c:v>
                </c:pt>
                <c:pt idx="24">
                  <c:v>17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  <c:pt idx="29">
                  <c:v>12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12</c:v>
                </c:pt>
                <c:pt idx="34">
                  <c:v>13</c:v>
                </c:pt>
                <c:pt idx="35">
                  <c:v>17</c:v>
                </c:pt>
                <c:pt idx="36">
                  <c:v>12</c:v>
                </c:pt>
                <c:pt idx="37">
                  <c:v>10</c:v>
                </c:pt>
                <c:pt idx="38">
                  <c:v>11</c:v>
                </c:pt>
                <c:pt idx="39">
                  <c:v>10</c:v>
                </c:pt>
                <c:pt idx="40">
                  <c:v>14</c:v>
                </c:pt>
                <c:pt idx="41">
                  <c:v>11</c:v>
                </c:pt>
                <c:pt idx="42">
                  <c:v>10</c:v>
                </c:pt>
                <c:pt idx="43">
                  <c:v>11</c:v>
                </c:pt>
                <c:pt idx="44">
                  <c:v>9</c:v>
                </c:pt>
                <c:pt idx="45">
                  <c:v>11</c:v>
                </c:pt>
                <c:pt idx="46">
                  <c:v>11</c:v>
                </c:pt>
                <c:pt idx="47">
                  <c:v>13</c:v>
                </c:pt>
                <c:pt idx="48">
                  <c:v>9</c:v>
                </c:pt>
                <c:pt idx="49">
                  <c:v>10</c:v>
                </c:pt>
                <c:pt idx="50">
                  <c:v>10</c:v>
                </c:pt>
                <c:pt idx="51">
                  <c:v>9</c:v>
                </c:pt>
              </c:numCache>
            </c:numRef>
          </c:xVal>
          <c:yVal>
            <c:numRef>
              <c:f>'P5_Car Inventory'!$H$2:$H$53</c:f>
              <c:numCache>
                <c:formatCode>_(* #,##0.00_);_(* \(#,##0.00\);_(* "-"??_);_(@_)</c:formatCode>
                <c:ptCount val="52"/>
                <c:pt idx="0">
                  <c:v>114660.6</c:v>
                </c:pt>
                <c:pt idx="1">
                  <c:v>72527.199999999997</c:v>
                </c:pt>
                <c:pt idx="2">
                  <c:v>85928</c:v>
                </c:pt>
                <c:pt idx="3">
                  <c:v>93382.6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48114.2</c:v>
                </c:pt>
                <c:pt idx="7">
                  <c:v>82374</c:v>
                </c:pt>
                <c:pt idx="8">
                  <c:v>64542</c:v>
                </c:pt>
                <c:pt idx="9">
                  <c:v>77243.100000000006</c:v>
                </c:pt>
                <c:pt idx="10">
                  <c:v>60389.5</c:v>
                </c:pt>
                <c:pt idx="11">
                  <c:v>83162.7</c:v>
                </c:pt>
                <c:pt idx="12">
                  <c:v>79420.600000000006</c:v>
                </c:pt>
                <c:pt idx="13">
                  <c:v>67829.100000000006</c:v>
                </c:pt>
                <c:pt idx="14">
                  <c:v>50854.1</c:v>
                </c:pt>
                <c:pt idx="15">
                  <c:v>69891.899999999994</c:v>
                </c:pt>
                <c:pt idx="16">
                  <c:v>68658.899999999994</c:v>
                </c:pt>
                <c:pt idx="17">
                  <c:v>52229.5</c:v>
                </c:pt>
                <c:pt idx="18">
                  <c:v>64467.4</c:v>
                </c:pt>
                <c:pt idx="19">
                  <c:v>44946.5</c:v>
                </c:pt>
                <c:pt idx="20">
                  <c:v>42504.6</c:v>
                </c:pt>
                <c:pt idx="21">
                  <c:v>52699.4</c:v>
                </c:pt>
                <c:pt idx="22">
                  <c:v>27637.1</c:v>
                </c:pt>
                <c:pt idx="23">
                  <c:v>27534.799999999999</c:v>
                </c:pt>
                <c:pt idx="24">
                  <c:v>46311.4</c:v>
                </c:pt>
                <c:pt idx="25">
                  <c:v>29601.9</c:v>
                </c:pt>
                <c:pt idx="26">
                  <c:v>44974.8</c:v>
                </c:pt>
                <c:pt idx="27">
                  <c:v>42074.2</c:v>
                </c:pt>
                <c:pt idx="28">
                  <c:v>33477.199999999997</c:v>
                </c:pt>
                <c:pt idx="29">
                  <c:v>30555.3</c:v>
                </c:pt>
                <c:pt idx="30">
                  <c:v>35137</c:v>
                </c:pt>
                <c:pt idx="31">
                  <c:v>37558.800000000003</c:v>
                </c:pt>
                <c:pt idx="32">
                  <c:v>36438.5</c:v>
                </c:pt>
                <c:pt idx="33">
                  <c:v>29102.3</c:v>
                </c:pt>
                <c:pt idx="34">
                  <c:v>31144.400000000001</c:v>
                </c:pt>
                <c:pt idx="35">
                  <c:v>40326.800000000003</c:v>
                </c:pt>
                <c:pt idx="36">
                  <c:v>27394.2</c:v>
                </c:pt>
                <c:pt idx="37">
                  <c:v>22521.599999999999</c:v>
                </c:pt>
                <c:pt idx="38">
                  <c:v>24513.200000000001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20223.900000000001</c:v>
                </c:pt>
                <c:pt idx="43">
                  <c:v>22128.2</c:v>
                </c:pt>
                <c:pt idx="44">
                  <c:v>17556.3</c:v>
                </c:pt>
                <c:pt idx="45">
                  <c:v>19421.099999999999</c:v>
                </c:pt>
                <c:pt idx="46">
                  <c:v>19341.7</c:v>
                </c:pt>
                <c:pt idx="47">
                  <c:v>22573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4-41CD-AAEA-1F9AD767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926880"/>
        <c:axId val="109326144"/>
      </c:scatterChart>
      <c:valAx>
        <c:axId val="20839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of the Car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144"/>
        <c:crosses val="autoZero"/>
        <c:crossBetween val="midCat"/>
      </c:valAx>
      <c:valAx>
        <c:axId val="1093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2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 Practice_FreeCodeCamp.xlsx]P5_Pivot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Driver wise 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'P5_Pivot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'P5_Pivot table'!$A$4:$A$21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'P5_Pivot table'!$B$4:$B$21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6-430D-80E5-3FE37444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43744"/>
        <c:axId val="109310768"/>
      </c:barChart>
      <c:catAx>
        <c:axId val="2022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0768"/>
        <c:crosses val="autoZero"/>
        <c:auto val="1"/>
        <c:lblAlgn val="ctr"/>
        <c:lblOffset val="100"/>
        <c:noMultiLvlLbl val="0"/>
      </c:catAx>
      <c:valAx>
        <c:axId val="1093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Payments for $20K 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Prob_solving1!$C$2:$C$5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Prob_solving1!$G$2:$G$5</c:f>
              <c:numCache>
                <c:formatCode>_-[$$-409]* #,##0.00_ ;_-[$$-409]* \-#,##0.00\ ;_-[$$-409]* "-"??_ ;_-@_ 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4-4AD5-896C-08B6B29B7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37984"/>
        <c:axId val="264282192"/>
      </c:barChart>
      <c:catAx>
        <c:axId val="20223798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82192"/>
        <c:crosses val="autoZero"/>
        <c:auto val="1"/>
        <c:lblAlgn val="ctr"/>
        <c:lblOffset val="100"/>
        <c:noMultiLvlLbl val="0"/>
      </c:catAx>
      <c:valAx>
        <c:axId val="2642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257175</xdr:colOff>
      <xdr:row>1</xdr:row>
      <xdr:rowOff>98425</xdr:rowOff>
    </xdr:from>
    <xdr:to>
      <xdr:col>20</xdr:col>
      <xdr:colOff>561975</xdr:colOff>
      <xdr:row>16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FC965-3D74-13AF-F545-8C3D15E3D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254000</xdr:colOff>
      <xdr:row>17</xdr:row>
      <xdr:rowOff>114300</xdr:rowOff>
    </xdr:from>
    <xdr:to>
      <xdr:col>20</xdr:col>
      <xdr:colOff>558800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A625F-32C8-42E5-B655-6E6EDCAF9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241300</xdr:colOff>
      <xdr:row>33</xdr:row>
      <xdr:rowOff>114300</xdr:rowOff>
    </xdr:from>
    <xdr:to>
      <xdr:col>20</xdr:col>
      <xdr:colOff>546100</xdr:colOff>
      <xdr:row>48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0C0C7-5A70-4087-B3BD-3FB5B3211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92075</xdr:rowOff>
    </xdr:from>
    <xdr:to>
      <xdr:col>10</xdr:col>
      <xdr:colOff>19050</xdr:colOff>
      <xdr:row>16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50EF7-B76B-3A78-743B-C61AFF42F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486022</xdr:colOff>
      <xdr:row>12</xdr:row>
      <xdr:rowOff>44937</xdr:rowOff>
    </xdr:from>
    <xdr:to>
      <xdr:col>23</xdr:col>
      <xdr:colOff>173406</xdr:colOff>
      <xdr:row>27</xdr:row>
      <xdr:rowOff>40541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85763-0CCF-E4A1-856F-724DAC6DE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2</xdr:row>
      <xdr:rowOff>3175</xdr:rowOff>
    </xdr:from>
    <xdr:to>
      <xdr:col>10</xdr:col>
      <xdr:colOff>127000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45A6A-A070-30D2-11C2-D6B526F49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6</xdr:row>
      <xdr:rowOff>79375</xdr:rowOff>
    </xdr:from>
    <xdr:to>
      <xdr:col>6</xdr:col>
      <xdr:colOff>79375</xdr:colOff>
      <xdr:row>21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60DE4-88E4-BD19-76A2-E7DB1FB45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bhi" refreshedDate="45259.928294791665" createdVersion="8" refreshedVersion="8" minRefreshableVersion="3" recordCount="171" xr:uid="{05D6F895-6D78-4496-8F1A-7AF212F7710E}">
  <cacheSource type="worksheet">
    <worksheetSource ref="A3:K174" sheet="P4_Sales Report"/>
  </cacheSource>
  <cacheFields count="11">
    <cacheField name="Month" numFmtId="14">
      <sharedItems/>
    </cacheField>
    <cacheField name="Transaction Number" numFmtId="169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/>
    </cacheField>
    <cacheField name="Commision 10% for items less than $50, 20% for items more than $50" numFmtId="166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Johnson"/>
        <s v="Smith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bhi" refreshedDate="45260.061986921297" createdVersion="8" refreshedVersion="8" minRefreshableVersion="3" recordCount="52" xr:uid="{7C96A9AA-3F82-429C-8538-8F535BEF06EC}">
  <cacheSource type="worksheet">
    <worksheetSource ref="A1:N53" sheet="P5_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9" maxValue="27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12.01111111111112" maxValue="4246.6888888888889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4"/>
    <n v="8722"/>
    <s v="Water Pump"/>
    <n v="344"/>
    <n v="502"/>
    <n v="158"/>
    <n v="31.6"/>
    <s v="Chalie"/>
    <x v="0"/>
    <s v="AZ"/>
  </r>
  <r>
    <s v="Feb"/>
    <n v="1028"/>
    <n v="8722"/>
    <s v="Water Pump"/>
    <n v="344"/>
    <n v="502"/>
    <n v="158"/>
    <n v="31.6"/>
    <s v="Chalie"/>
    <x v="0"/>
    <s v="AZ"/>
  </r>
  <r>
    <s v="Feb"/>
    <n v="1032"/>
    <n v="2877"/>
    <s v="Net"/>
    <n v="11.4"/>
    <n v="16.3"/>
    <n v="4.9000000000000004"/>
    <n v="0.49000000000000005"/>
    <s v="Chalie"/>
    <x v="0"/>
    <s v="AZ"/>
  </r>
  <r>
    <s v="Mar"/>
    <n v="1048"/>
    <n v="8722"/>
    <s v="Water Pump"/>
    <n v="344"/>
    <n v="502"/>
    <n v="158"/>
    <n v="31.6"/>
    <s v="Chalie"/>
    <x v="0"/>
    <s v="AZ"/>
  </r>
  <r>
    <s v="April"/>
    <n v="1050"/>
    <n v="2877"/>
    <s v="Net"/>
    <n v="11.4"/>
    <n v="16.3"/>
    <n v="4.9000000000000004"/>
    <n v="0.49000000000000005"/>
    <s v="Chalie"/>
    <x v="0"/>
    <s v="AZ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71"/>
    <n v="1109"/>
    <s v="Chlorine Test Kit"/>
    <n v="3"/>
    <n v="8"/>
    <n v="5"/>
    <n v="0.5"/>
    <s v="Chalie"/>
    <x v="0"/>
    <s v="AZ"/>
  </r>
  <r>
    <s v="June"/>
    <n v="1084"/>
    <n v="6119"/>
    <s v="Algea Killer 8 oz"/>
    <n v="9"/>
    <n v="14"/>
    <n v="5"/>
    <n v="0.5"/>
    <s v="Chalie"/>
    <x v="0"/>
    <s v="AZ"/>
  </r>
  <r>
    <s v="July"/>
    <n v="1115"/>
    <n v="8722"/>
    <s v="Water Pump"/>
    <n v="344"/>
    <n v="502"/>
    <n v="158"/>
    <n v="31.6"/>
    <s v="Chalie"/>
    <x v="0"/>
    <s v="AZ"/>
  </r>
  <r>
    <s v="Aug"/>
    <n v="1133"/>
    <n v="9822"/>
    <s v="Pool Cover"/>
    <n v="58.3"/>
    <n v="98.4"/>
    <n v="40.100000000000009"/>
    <n v="8.0200000000000014"/>
    <s v="Chalie"/>
    <x v="0"/>
    <s v="AZ"/>
  </r>
  <r>
    <s v="Sept"/>
    <n v="1149"/>
    <n v="8722"/>
    <s v="Water Pump"/>
    <n v="344"/>
    <n v="502"/>
    <n v="158"/>
    <n v="31.6"/>
    <s v="Chalie"/>
    <x v="0"/>
    <s v="AZ"/>
  </r>
  <r>
    <s v="Nov"/>
    <n v="1162"/>
    <n v="9212"/>
    <s v="1 Gal Muratic Acid"/>
    <n v="4"/>
    <n v="7"/>
    <n v="3"/>
    <n v="0.30000000000000004"/>
    <s v="Chalie"/>
    <x v="0"/>
    <s v="AZ"/>
  </r>
  <r>
    <s v="Jan"/>
    <n v="1011"/>
    <n v="2877"/>
    <s v="Net"/>
    <n v="11.4"/>
    <n v="16.3"/>
    <n v="4.9000000000000004"/>
    <n v="0.49000000000000005"/>
    <s v="Juan"/>
    <x v="1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Mar"/>
    <n v="1040"/>
    <n v="1109"/>
    <s v="Chlorine Test Kit"/>
    <n v="3"/>
    <n v="8"/>
    <n v="5"/>
    <n v="0.5"/>
    <s v="Juan"/>
    <x v="1"/>
    <s v="AZ"/>
  </r>
  <r>
    <s v="May"/>
    <n v="1076"/>
    <n v="1109"/>
    <s v="Chlorine Test Kit"/>
    <n v="3"/>
    <n v="8"/>
    <n v="5"/>
    <n v="0.5"/>
    <s v="Juan"/>
    <x v="1"/>
    <s v="AZ"/>
  </r>
  <r>
    <s v="June"/>
    <n v="1093"/>
    <n v="6119"/>
    <s v="Algea Killer 8 oz"/>
    <n v="9"/>
    <n v="14"/>
    <n v="5"/>
    <n v="0.5"/>
    <s v="Juan"/>
    <x v="1"/>
    <s v="AZ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14"/>
    <n v="2242"/>
    <s v="AutoVac"/>
    <n v="60"/>
    <n v="124"/>
    <n v="64"/>
    <n v="12.8"/>
    <s v="Juan"/>
    <x v="1"/>
    <s v="AZ"/>
  </r>
  <r>
    <s v="Aug"/>
    <n v="1141"/>
    <n v="9212"/>
    <s v="1 Gal Muratic Acid"/>
    <n v="4"/>
    <n v="7"/>
    <n v="3"/>
    <n v="0.30000000000000004"/>
    <s v="Juan"/>
    <x v="1"/>
    <s v="AZ"/>
  </r>
  <r>
    <s v="Jan"/>
    <n v="1015"/>
    <n v="2877"/>
    <s v="Net"/>
    <n v="11.4"/>
    <n v="16.3"/>
    <n v="4.9000000000000004"/>
    <n v="0.49000000000000005"/>
    <s v="Hellen"/>
    <x v="2"/>
    <s v="AZ"/>
  </r>
  <r>
    <s v="Mar"/>
    <n v="1045"/>
    <n v="8722"/>
    <s v="Water Pump"/>
    <n v="344"/>
    <n v="502"/>
    <n v="158"/>
    <n v="31.6"/>
    <s v="Hellen"/>
    <x v="2"/>
    <s v="AZ"/>
  </r>
  <r>
    <s v="Mar"/>
    <n v="1047"/>
    <n v="6622"/>
    <s v="5 Gal Chlorine"/>
    <n v="42"/>
    <n v="77"/>
    <n v="35"/>
    <n v="7"/>
    <s v="Hellen"/>
    <x v="2"/>
    <s v="AZ"/>
  </r>
  <r>
    <s v="April"/>
    <n v="1058"/>
    <n v="6119"/>
    <s v="Algea Killer 8 oz"/>
    <n v="9"/>
    <n v="14"/>
    <n v="5"/>
    <n v="0.5"/>
    <s v="Hellen"/>
    <x v="2"/>
    <s v="AZ"/>
  </r>
  <r>
    <s v="May"/>
    <n v="1064"/>
    <n v="2499"/>
    <s v="8 ft Hose"/>
    <n v="6.2"/>
    <n v="9.1999999999999993"/>
    <n v="2.9999999999999991"/>
    <n v="0.29999999999999993"/>
    <s v="Hellen"/>
    <x v="2"/>
    <s v="AZ"/>
  </r>
  <r>
    <s v="May"/>
    <n v="1070"/>
    <n v="2499"/>
    <s v="8 ft Hose"/>
    <n v="6.2"/>
    <n v="9.1999999999999993"/>
    <n v="2.9999999999999991"/>
    <n v="0.29999999999999993"/>
    <s v="Hellen"/>
    <x v="2"/>
    <s v="AZ"/>
  </r>
  <r>
    <s v="May"/>
    <n v="1077"/>
    <n v="9822"/>
    <s v="Pool Cover"/>
    <n v="58.3"/>
    <n v="98.4"/>
    <n v="40.100000000000009"/>
    <n v="8.0200000000000014"/>
    <s v="Hellen"/>
    <x v="2"/>
    <s v="AZ"/>
  </r>
  <r>
    <s v="June"/>
    <n v="1086"/>
    <n v="1109"/>
    <s v="Chlorine Test Kit"/>
    <n v="3"/>
    <n v="8"/>
    <n v="5"/>
    <n v="0.5"/>
    <s v="Hellen"/>
    <x v="2"/>
    <s v="AZ"/>
  </r>
  <r>
    <s v="June"/>
    <n v="1095"/>
    <n v="2499"/>
    <s v="8 ft Hose"/>
    <n v="6.2"/>
    <n v="9.1999999999999993"/>
    <n v="2.9999999999999991"/>
    <n v="0.29999999999999993"/>
    <s v="Hellen"/>
    <x v="2"/>
    <s v="AZ"/>
  </r>
  <r>
    <s v="Aug"/>
    <n v="1131"/>
    <n v="9212"/>
    <s v="1 Gal Muratic Acid"/>
    <n v="4"/>
    <n v="7"/>
    <n v="3"/>
    <n v="0.30000000000000004"/>
    <s v="Hellen"/>
    <x v="2"/>
    <s v="AZ"/>
  </r>
  <r>
    <s v="Sept"/>
    <n v="1143"/>
    <n v="9822"/>
    <s v="Pool Cover"/>
    <n v="58.3"/>
    <n v="98.4"/>
    <n v="40.100000000000009"/>
    <n v="8.0200000000000014"/>
    <s v="Hellen"/>
    <x v="2"/>
    <s v="AZ"/>
  </r>
  <r>
    <s v="Jan"/>
    <n v="1003"/>
    <n v="2499"/>
    <s v="8 ft Hose"/>
    <n v="6.2"/>
    <n v="9.1999999999999993"/>
    <n v="2.9999999999999991"/>
    <n v="0.29999999999999993"/>
    <s v="Doug"/>
    <x v="3"/>
    <s v="AZ"/>
  </r>
  <r>
    <s v="Jan"/>
    <n v="1005"/>
    <n v="1109"/>
    <s v="Chlorine Test Kit"/>
    <n v="3"/>
    <n v="8"/>
    <n v="5"/>
    <n v="0.5"/>
    <s v="Doug"/>
    <x v="3"/>
    <s v="AZ"/>
  </r>
  <r>
    <s v="Jan"/>
    <n v="1006"/>
    <n v="9822"/>
    <s v="Pool Cover"/>
    <n v="58.3"/>
    <n v="98.4"/>
    <n v="40.100000000000009"/>
    <n v="8.0200000000000014"/>
    <s v="Doug"/>
    <x v="3"/>
    <s v="AZ"/>
  </r>
  <r>
    <s v="Jan"/>
    <n v="1009"/>
    <n v="1109"/>
    <s v="Chlorine Test Kit"/>
    <n v="3"/>
    <n v="8"/>
    <n v="5"/>
    <n v="0.5"/>
    <s v="Doug"/>
    <x v="3"/>
    <s v="AZ"/>
  </r>
  <r>
    <s v="April"/>
    <n v="1052"/>
    <n v="6622"/>
    <s v="5 Gal Chlorine"/>
    <n v="42"/>
    <n v="77"/>
    <n v="35"/>
    <n v="7"/>
    <s v="Doug"/>
    <x v="3"/>
    <s v="AZ"/>
  </r>
  <r>
    <s v="April"/>
    <n v="1059"/>
    <n v="2242"/>
    <s v="AutoVac"/>
    <n v="60"/>
    <n v="124"/>
    <n v="64"/>
    <n v="12.8"/>
    <s v="Doug"/>
    <x v="3"/>
    <s v="AZ"/>
  </r>
  <r>
    <s v="May"/>
    <n v="1069"/>
    <n v="1109"/>
    <s v="Chlorine Test Kit"/>
    <n v="3"/>
    <n v="8"/>
    <n v="5"/>
    <n v="0.5"/>
    <s v="Doug"/>
    <x v="3"/>
    <s v="AZ"/>
  </r>
  <r>
    <s v="May"/>
    <n v="1074"/>
    <n v="2877"/>
    <s v="Net"/>
    <n v="11.4"/>
    <n v="16.3"/>
    <n v="4.9000000000000004"/>
    <n v="0.49000000000000005"/>
    <s v="Doug"/>
    <x v="3"/>
    <s v="AZ"/>
  </r>
  <r>
    <s v="June"/>
    <n v="1096"/>
    <n v="6119"/>
    <s v="Algea Killer 8 oz"/>
    <n v="9"/>
    <n v="14"/>
    <n v="5"/>
    <n v="0.5"/>
    <s v="Doug"/>
    <x v="3"/>
    <s v="AZ"/>
  </r>
  <r>
    <s v="July"/>
    <n v="1112"/>
    <n v="6622"/>
    <s v="5 Gal Chlorine"/>
    <n v="42"/>
    <n v="77"/>
    <n v="35"/>
    <n v="7"/>
    <s v="Doug"/>
    <x v="3"/>
    <s v="AZ"/>
  </r>
  <r>
    <s v="July"/>
    <n v="1122"/>
    <n v="8722"/>
    <s v="Water Pump"/>
    <n v="344"/>
    <n v="502"/>
    <n v="158"/>
    <n v="31.6"/>
    <s v="Doug"/>
    <x v="3"/>
    <s v="AZ"/>
  </r>
  <r>
    <s v="July"/>
    <n v="1124"/>
    <n v="4421"/>
    <s v="Skimmer"/>
    <n v="45"/>
    <n v="87"/>
    <n v="42"/>
    <n v="8.4"/>
    <s v="Doug"/>
    <x v="3"/>
    <s v="AZ"/>
  </r>
  <r>
    <s v="Aug"/>
    <n v="1134"/>
    <n v="9822"/>
    <s v="Pool Cover"/>
    <n v="58.3"/>
    <n v="98.4"/>
    <n v="40.100000000000009"/>
    <n v="8.0200000000000014"/>
    <s v="Doug"/>
    <x v="3"/>
    <s v="AZ"/>
  </r>
  <r>
    <s v="Sept"/>
    <n v="1148"/>
    <n v="9212"/>
    <s v="1 Gal Muratic Acid"/>
    <n v="4"/>
    <n v="7"/>
    <n v="3"/>
    <n v="0.30000000000000004"/>
    <s v="Doug"/>
    <x v="3"/>
    <s v="AZ"/>
  </r>
  <r>
    <s v="Oct"/>
    <n v="1153"/>
    <n v="8722"/>
    <s v="Water Pump"/>
    <n v="344"/>
    <n v="502"/>
    <n v="158"/>
    <n v="31.6"/>
    <s v="Doug"/>
    <x v="3"/>
    <s v="AZ"/>
  </r>
  <r>
    <s v="Oct"/>
    <n v="1155"/>
    <n v="4421"/>
    <s v="Skimmer"/>
    <n v="45"/>
    <n v="87"/>
    <n v="42"/>
    <n v="8.4"/>
    <s v="Doug"/>
    <x v="3"/>
    <s v="AZ"/>
  </r>
  <r>
    <s v="Nov"/>
    <n v="1164"/>
    <n v="9822"/>
    <s v="Pool Cover"/>
    <n v="58.3"/>
    <n v="98.4"/>
    <n v="40.100000000000009"/>
    <n v="8.0200000000000014"/>
    <s v="Doug"/>
    <x v="3"/>
    <s v="AZ"/>
  </r>
  <r>
    <s v="Nov"/>
    <n v="1165"/>
    <n v="9822"/>
    <s v="Pool Cover"/>
    <n v="58.3"/>
    <n v="98.4"/>
    <n v="40.100000000000009"/>
    <n v="8.0200000000000014"/>
    <s v="Doug"/>
    <x v="3"/>
    <s v="AZ"/>
  </r>
  <r>
    <s v="Jan"/>
    <n v="1014"/>
    <n v="8722"/>
    <s v="Water Pump"/>
    <n v="344"/>
    <n v="502"/>
    <n v="158"/>
    <n v="31.6"/>
    <s v="Chalie"/>
    <x v="0"/>
    <s v="CA"/>
  </r>
  <r>
    <s v="April"/>
    <n v="1053"/>
    <n v="2242"/>
    <s v="AutoVac"/>
    <n v="60"/>
    <n v="124"/>
    <n v="64"/>
    <n v="12.8"/>
    <s v="Chalie"/>
    <x v="0"/>
    <s v="CA"/>
  </r>
  <r>
    <s v="June"/>
    <n v="1082"/>
    <n v="1109"/>
    <s v="Chlorine Test Kit"/>
    <n v="3"/>
    <n v="8"/>
    <n v="5"/>
    <n v="0.5"/>
    <s v="Chalie"/>
    <x v="0"/>
    <s v="CA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90"/>
    <n v="2877"/>
    <s v="Net"/>
    <n v="11.4"/>
    <n v="16.3"/>
    <n v="4.9000000000000004"/>
    <n v="0.49000000000000005"/>
    <s v="Chalie"/>
    <x v="0"/>
    <s v="CA"/>
  </r>
  <r>
    <s v="July"/>
    <n v="1113"/>
    <n v="9822"/>
    <s v="Pool Cover"/>
    <n v="58.3"/>
    <n v="98.4"/>
    <n v="40.100000000000009"/>
    <n v="8.0200000000000014"/>
    <s v="Chalie"/>
    <x v="0"/>
    <s v="CA"/>
  </r>
  <r>
    <s v="Sept"/>
    <n v="1147"/>
    <n v="9822"/>
    <s v="Pool Cover"/>
    <n v="58.3"/>
    <n v="98.4"/>
    <n v="40.100000000000009"/>
    <n v="8.0200000000000014"/>
    <s v="Chalie"/>
    <x v="0"/>
    <s v="CA"/>
  </r>
  <r>
    <s v="Dec"/>
    <n v="1170"/>
    <n v="4421"/>
    <s v="Skimmer"/>
    <n v="45"/>
    <n v="87"/>
    <n v="42"/>
    <n v="8.4"/>
    <s v="Chalie"/>
    <x v="0"/>
    <s v="CA"/>
  </r>
  <r>
    <s v="Jan"/>
    <n v="1002"/>
    <n v="2877"/>
    <s v="Net"/>
    <n v="11.4"/>
    <n v="16.3"/>
    <n v="4.9000000000000004"/>
    <n v="0.49000000000000005"/>
    <s v="Juan"/>
    <x v="1"/>
    <s v="CA"/>
  </r>
  <r>
    <s v="Feb"/>
    <n v="1031"/>
    <n v="1109"/>
    <s v="Chlorine Test Kit"/>
    <n v="3"/>
    <n v="8"/>
    <n v="5"/>
    <n v="0.5"/>
    <s v="Juan"/>
    <x v="1"/>
    <s v="CA"/>
  </r>
  <r>
    <s v="Feb"/>
    <n v="1033"/>
    <n v="9822"/>
    <s v="Pool Cover"/>
    <n v="58.3"/>
    <n v="98.4"/>
    <n v="40.100000000000009"/>
    <n v="8.0200000000000014"/>
    <s v="Juan"/>
    <x v="1"/>
    <s v="CA"/>
  </r>
  <r>
    <s v="Mar"/>
    <n v="1039"/>
    <n v="2877"/>
    <s v="Net"/>
    <n v="11.4"/>
    <n v="16.3"/>
    <n v="4.9000000000000004"/>
    <n v="0.49000000000000005"/>
    <s v="Juan"/>
    <x v="1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May"/>
    <n v="1068"/>
    <n v="6119"/>
    <s v="Algea Killer 8 oz"/>
    <n v="9"/>
    <n v="14"/>
    <n v="5"/>
    <n v="0.5"/>
    <s v="Juan"/>
    <x v="1"/>
    <s v="CA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9"/>
    <n v="8722"/>
    <s v="Water Pump"/>
    <n v="344"/>
    <n v="502"/>
    <n v="158"/>
    <n v="31.6"/>
    <s v="Juan"/>
    <x v="1"/>
    <s v="CA"/>
  </r>
  <r>
    <s v="July"/>
    <n v="1118"/>
    <n v="9822"/>
    <s v="Pool Cover"/>
    <n v="58.3"/>
    <n v="98.4"/>
    <n v="40.100000000000009"/>
    <n v="8.0200000000000014"/>
    <s v="Juan"/>
    <x v="1"/>
    <s v="CA"/>
  </r>
  <r>
    <s v="Aug"/>
    <n v="1128"/>
    <n v="6622"/>
    <s v="5 Gal Chlorine"/>
    <n v="42"/>
    <n v="77"/>
    <n v="35"/>
    <n v="7"/>
    <s v="Juan"/>
    <x v="1"/>
    <s v="CA"/>
  </r>
  <r>
    <s v="Aug"/>
    <n v="1137"/>
    <n v="9822"/>
    <s v="Pool Cover"/>
    <n v="58.3"/>
    <n v="98.4"/>
    <n v="40.100000000000009"/>
    <n v="8.0200000000000014"/>
    <s v="Juan"/>
    <x v="1"/>
    <s v="CA"/>
  </r>
  <r>
    <s v="Oct"/>
    <n v="1151"/>
    <n v="2242"/>
    <s v="AutoVac"/>
    <n v="60"/>
    <n v="124"/>
    <n v="64"/>
    <n v="12.8"/>
    <s v="Juan"/>
    <x v="1"/>
    <s v="CA"/>
  </r>
  <r>
    <s v="Nov"/>
    <n v="1161"/>
    <n v="4421"/>
    <s v="Skimmer"/>
    <n v="45"/>
    <n v="87"/>
    <n v="42"/>
    <n v="8.4"/>
    <s v="Juan"/>
    <x v="1"/>
    <s v="CA"/>
  </r>
  <r>
    <s v="Mar"/>
    <n v="1035"/>
    <n v="2499"/>
    <s v="8 ft Hose"/>
    <n v="6.2"/>
    <n v="9.1999999999999993"/>
    <n v="2.9999999999999991"/>
    <n v="0.29999999999999993"/>
    <s v="Hellen"/>
    <x v="2"/>
    <s v="CA"/>
  </r>
  <r>
    <s v="May"/>
    <n v="1075"/>
    <n v="1109"/>
    <s v="Chlorine Test Kit"/>
    <n v="3"/>
    <n v="8"/>
    <n v="5"/>
    <n v="0.5"/>
    <s v="Hellen"/>
    <x v="2"/>
    <s v="CA"/>
  </r>
  <r>
    <s v="July"/>
    <n v="1111"/>
    <n v="6622"/>
    <s v="5 Gal Chlorine"/>
    <n v="42"/>
    <n v="77"/>
    <n v="35"/>
    <n v="7"/>
    <s v="Hellen"/>
    <x v="2"/>
    <s v="CA"/>
  </r>
  <r>
    <s v="Aug"/>
    <n v="1130"/>
    <n v="4421"/>
    <s v="Skimmer"/>
    <n v="45"/>
    <n v="87"/>
    <n v="42"/>
    <n v="8.4"/>
    <s v="Hellen"/>
    <x v="2"/>
    <s v="CA"/>
  </r>
  <r>
    <s v="Aug"/>
    <n v="1132"/>
    <n v="9212"/>
    <s v="1 Gal Muratic Acid"/>
    <n v="4"/>
    <n v="7"/>
    <n v="3"/>
    <n v="0.30000000000000004"/>
    <s v="Hellen"/>
    <x v="2"/>
    <s v="CA"/>
  </r>
  <r>
    <s v="Sept"/>
    <n v="1144"/>
    <n v="2242"/>
    <s v="AutoVac"/>
    <n v="60"/>
    <n v="124"/>
    <n v="64"/>
    <n v="12.8"/>
    <s v="Hellen"/>
    <x v="2"/>
    <s v="CA"/>
  </r>
  <r>
    <s v="Jan"/>
    <n v="1016"/>
    <n v="2499"/>
    <s v="8 ft Hose"/>
    <n v="6.2"/>
    <n v="9.1999999999999993"/>
    <n v="2.9999999999999991"/>
    <n v="0.29999999999999993"/>
    <s v="Doug"/>
    <x v="3"/>
    <s v="CA"/>
  </r>
  <r>
    <s v="Feb"/>
    <n v="1018"/>
    <n v="1109"/>
    <s v="Chlorine Test Kit"/>
    <n v="3"/>
    <n v="8"/>
    <n v="5"/>
    <n v="0.5"/>
    <s v="Doug"/>
    <x v="3"/>
    <s v="CA"/>
  </r>
  <r>
    <s v="Mar"/>
    <n v="1043"/>
    <n v="2242"/>
    <s v="AutoVac"/>
    <n v="60"/>
    <n v="124"/>
    <n v="64"/>
    <n v="12.8"/>
    <s v="Doug"/>
    <x v="3"/>
    <s v="CA"/>
  </r>
  <r>
    <s v="Mar"/>
    <n v="1044"/>
    <n v="2877"/>
    <s v="Net"/>
    <n v="11.4"/>
    <n v="16.3"/>
    <n v="4.9000000000000004"/>
    <n v="0.49000000000000005"/>
    <s v="Doug"/>
    <x v="3"/>
    <s v="CA"/>
  </r>
  <r>
    <s v="April"/>
    <n v="1056"/>
    <n v="1109"/>
    <s v="Chlorine Test Kit"/>
    <n v="3"/>
    <n v="8"/>
    <n v="5"/>
    <n v="0.5"/>
    <s v="Doug"/>
    <x v="3"/>
    <s v="CA"/>
  </r>
  <r>
    <s v="May"/>
    <n v="1063"/>
    <n v="1109"/>
    <s v="Chlorine Test Kit"/>
    <n v="3"/>
    <n v="8"/>
    <n v="5"/>
    <n v="0.5"/>
    <s v="Doug"/>
    <x v="3"/>
    <s v="CA"/>
  </r>
  <r>
    <s v="May"/>
    <n v="1073"/>
    <n v="6622"/>
    <s v="5 Gal Chlorine"/>
    <n v="42"/>
    <n v="77"/>
    <n v="35"/>
    <n v="7"/>
    <s v="Doug"/>
    <x v="3"/>
    <s v="CA"/>
  </r>
  <r>
    <s v="June"/>
    <n v="1080"/>
    <n v="4421"/>
    <s v="Skimmer"/>
    <n v="45"/>
    <n v="87"/>
    <n v="42"/>
    <n v="8.4"/>
    <s v="Doug"/>
    <x v="3"/>
    <s v="CA"/>
  </r>
  <r>
    <s v="June"/>
    <n v="1092"/>
    <n v="2877"/>
    <s v="Net"/>
    <n v="11.4"/>
    <n v="16.3"/>
    <n v="4.9000000000000004"/>
    <n v="0.49000000000000005"/>
    <s v="Doug"/>
    <x v="3"/>
    <s v="CA"/>
  </r>
  <r>
    <s v="June"/>
    <n v="1094"/>
    <n v="6119"/>
    <s v="Algea Killer 8 oz"/>
    <n v="9"/>
    <n v="14"/>
    <n v="5"/>
    <n v="0.5"/>
    <s v="Doug"/>
    <x v="3"/>
    <s v="CA"/>
  </r>
  <r>
    <s v="July"/>
    <n v="1099"/>
    <n v="2877"/>
    <s v="Net"/>
    <n v="11.4"/>
    <n v="16.3"/>
    <n v="4.9000000000000004"/>
    <n v="0.49000000000000005"/>
    <s v="Doug"/>
    <x v="3"/>
    <s v="CA"/>
  </r>
  <r>
    <s v="July"/>
    <n v="1101"/>
    <n v="2499"/>
    <s v="8 ft Hose"/>
    <n v="6.2"/>
    <n v="9.1999999999999993"/>
    <n v="2.9999999999999991"/>
    <n v="0.29999999999999993"/>
    <s v="Doug"/>
    <x v="3"/>
    <s v="CA"/>
  </r>
  <r>
    <s v="July"/>
    <n v="1120"/>
    <n v="2242"/>
    <s v="AutoVac"/>
    <n v="60"/>
    <n v="124"/>
    <n v="64"/>
    <n v="12.8"/>
    <s v="Doug"/>
    <x v="3"/>
    <s v="CA"/>
  </r>
  <r>
    <s v="Aug"/>
    <n v="1125"/>
    <n v="2242"/>
    <s v="AutoVac"/>
    <n v="60"/>
    <n v="124"/>
    <n v="64"/>
    <n v="12.8"/>
    <s v="Doug"/>
    <x v="3"/>
    <s v="CA"/>
  </r>
  <r>
    <s v="Aug"/>
    <n v="1139"/>
    <n v="4421"/>
    <s v="Skimmer"/>
    <n v="45"/>
    <n v="87"/>
    <n v="42"/>
    <n v="8.4"/>
    <s v="Doug"/>
    <x v="3"/>
    <s v="CA"/>
  </r>
  <r>
    <s v="Oct"/>
    <n v="1156"/>
    <n v="2242"/>
    <s v="AutoVac"/>
    <n v="60"/>
    <n v="124"/>
    <n v="64"/>
    <n v="12.8"/>
    <s v="Doug"/>
    <x v="3"/>
    <s v="CA"/>
  </r>
  <r>
    <s v="Nov"/>
    <n v="1159"/>
    <n v="6622"/>
    <s v="5 Gal Chlorine"/>
    <n v="42"/>
    <n v="77"/>
    <n v="35"/>
    <n v="7"/>
    <s v="Doug"/>
    <x v="3"/>
    <s v="CA"/>
  </r>
  <r>
    <s v="Nov"/>
    <n v="1163"/>
    <n v="9212"/>
    <s v="1 Gal Muratic Acid"/>
    <n v="4"/>
    <n v="7"/>
    <n v="3"/>
    <n v="0.30000000000000004"/>
    <s v="Doug"/>
    <x v="3"/>
    <s v="CA"/>
  </r>
  <r>
    <s v="Dec"/>
    <n v="1168"/>
    <n v="9822"/>
    <s v="Pool Cover"/>
    <n v="58.3"/>
    <n v="98.4"/>
    <n v="40.100000000000009"/>
    <n v="8.0200000000000014"/>
    <s v="Doug"/>
    <x v="3"/>
    <s v="CA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Jan"/>
    <n v="1010"/>
    <n v="2877"/>
    <s v="Net"/>
    <n v="11.4"/>
    <n v="16.3"/>
    <n v="4.9000000000000004"/>
    <n v="0.49000000000000005"/>
    <s v="Juan"/>
    <x v="1"/>
    <s v="CO"/>
  </r>
  <r>
    <s v="Feb"/>
    <n v="1021"/>
    <n v="1109"/>
    <s v="Chlorine Test Kit"/>
    <n v="3"/>
    <n v="8"/>
    <n v="5"/>
    <n v="0.5"/>
    <s v="Juan"/>
    <x v="1"/>
    <s v="CO"/>
  </r>
  <r>
    <s v="Feb"/>
    <n v="1034"/>
    <n v="2877"/>
    <s v="Net"/>
    <n v="11.4"/>
    <n v="16.3"/>
    <n v="4.9000000000000004"/>
    <n v="0.49000000000000005"/>
    <s v="Juan"/>
    <x v="1"/>
    <s v="CO"/>
  </r>
  <r>
    <s v="Jan"/>
    <n v="1013"/>
    <n v="9212"/>
    <s v="1 Gal Muratic Acid"/>
    <n v="4"/>
    <n v="7"/>
    <n v="3"/>
    <n v="0.30000000000000004"/>
    <s v="Hellen"/>
    <x v="2"/>
    <s v="CO"/>
  </r>
  <r>
    <s v="Feb"/>
    <n v="1019"/>
    <n v="2499"/>
    <s v="8 ft Hose"/>
    <n v="6.2"/>
    <n v="9.1999999999999993"/>
    <n v="2.9999999999999991"/>
    <n v="0.29999999999999993"/>
    <s v="Doug"/>
    <x v="3"/>
    <s v="CO"/>
  </r>
  <r>
    <s v="Jan"/>
    <n v="1001"/>
    <n v="9822"/>
    <s v="Pool Cover"/>
    <n v="58.3"/>
    <n v="98.4"/>
    <n v="40.100000000000009"/>
    <n v="8.0200000000000014"/>
    <s v="Chalie"/>
    <x v="0"/>
    <s v="NM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Feb"/>
    <n v="1017"/>
    <n v="2242"/>
    <s v="AutoVac"/>
    <n v="60"/>
    <n v="124"/>
    <n v="64"/>
    <n v="12.8"/>
    <s v="Juan"/>
    <x v="1"/>
    <s v="NM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98"/>
    <n v="2877"/>
    <s v="Net"/>
    <n v="11.4"/>
    <n v="16.3"/>
    <n v="4.9000000000000004"/>
    <n v="0.49000000000000005"/>
    <s v="Juan"/>
    <x v="1"/>
    <s v="NM"/>
  </r>
  <r>
    <s v="Jan"/>
    <n v="1007"/>
    <n v="1109"/>
    <s v="Chlorine Test Kit"/>
    <n v="3"/>
    <n v="8"/>
    <n v="5"/>
    <n v="0.5"/>
    <s v="Hellen"/>
    <x v="2"/>
    <s v="NM"/>
  </r>
  <r>
    <s v="Feb"/>
    <n v="1023"/>
    <n v="1109"/>
    <s v="Chlorine Test Kit"/>
    <n v="3"/>
    <n v="8"/>
    <n v="5"/>
    <n v="0.5"/>
    <s v="Hellen"/>
    <x v="2"/>
    <s v="NM"/>
  </r>
  <r>
    <s v="Feb"/>
    <n v="1026"/>
    <n v="6119"/>
    <s v="Algea Killer 8 oz"/>
    <n v="9"/>
    <n v="14"/>
    <n v="5"/>
    <n v="0.5"/>
    <s v="Hellen"/>
    <x v="2"/>
    <s v="NM"/>
  </r>
  <r>
    <s v="July"/>
    <n v="1107"/>
    <n v="1109"/>
    <s v="Chlorine Test Kit"/>
    <n v="3"/>
    <n v="8"/>
    <n v="5"/>
    <n v="0.5"/>
    <s v="Hellen"/>
    <x v="2"/>
    <s v="NM"/>
  </r>
  <r>
    <s v="July"/>
    <n v="1117"/>
    <n v="8722"/>
    <s v="Water Pump"/>
    <n v="344"/>
    <n v="502"/>
    <n v="158"/>
    <n v="31.6"/>
    <s v="Hellen"/>
    <x v="2"/>
    <s v="NM"/>
  </r>
  <r>
    <s v="Sept"/>
    <n v="1145"/>
    <n v="4421"/>
    <s v="Skimmer"/>
    <n v="45"/>
    <n v="87"/>
    <n v="42"/>
    <n v="8.4"/>
    <s v="Hellen"/>
    <x v="2"/>
    <s v="NM"/>
  </r>
  <r>
    <s v="Jan"/>
    <n v="1008"/>
    <n v="2877"/>
    <s v="Net"/>
    <n v="11.4"/>
    <n v="16.3"/>
    <n v="4.9000000000000004"/>
    <n v="0.49000000000000005"/>
    <s v="Doug"/>
    <x v="3"/>
    <s v="NM"/>
  </r>
  <r>
    <s v="Jan"/>
    <n v="1012"/>
    <n v="4421"/>
    <s v="Skimmer"/>
    <n v="45"/>
    <n v="87"/>
    <n v="42"/>
    <n v="8.4"/>
    <s v="Doug"/>
    <x v="3"/>
    <s v="NM"/>
  </r>
  <r>
    <s v="Mar"/>
    <n v="1042"/>
    <n v="8722"/>
    <s v="Water Pump"/>
    <n v="344"/>
    <n v="502"/>
    <n v="158"/>
    <n v="31.6"/>
    <s v="Doug"/>
    <x v="3"/>
    <s v="NM"/>
  </r>
  <r>
    <s v="May"/>
    <n v="1065"/>
    <n v="2499"/>
    <s v="8 ft Hose"/>
    <n v="6.2"/>
    <n v="9.1999999999999993"/>
    <n v="2.9999999999999991"/>
    <n v="0.29999999999999993"/>
    <s v="Doug"/>
    <x v="3"/>
    <s v="NM"/>
  </r>
  <r>
    <s v="Aug"/>
    <n v="1126"/>
    <n v="9212"/>
    <s v="1 Gal Muratic Acid"/>
    <n v="4"/>
    <n v="7"/>
    <n v="3"/>
    <n v="0.30000000000000004"/>
    <s v="Doug"/>
    <x v="3"/>
    <s v="NM"/>
  </r>
  <r>
    <s v="Aug"/>
    <n v="1136"/>
    <n v="2242"/>
    <s v="AutoVac"/>
    <n v="60"/>
    <n v="124"/>
    <n v="64"/>
    <n v="12.8"/>
    <s v="Doug"/>
    <x v="3"/>
    <s v="NM"/>
  </r>
  <r>
    <s v="Oct"/>
    <n v="1157"/>
    <n v="9212"/>
    <s v="1 Gal Muratic Acid"/>
    <n v="4"/>
    <n v="7"/>
    <n v="3"/>
    <n v="0.30000000000000004"/>
    <s v="Doug"/>
    <x v="3"/>
    <s v="NM"/>
  </r>
  <r>
    <s v="Dec"/>
    <n v="1167"/>
    <n v="2242"/>
    <s v="AutoVac"/>
    <n v="60"/>
    <n v="124"/>
    <n v="64"/>
    <n v="12.8"/>
    <s v="Doug"/>
    <x v="3"/>
    <s v="NM"/>
  </r>
  <r>
    <s v="Feb"/>
    <n v="1027"/>
    <n v="6119"/>
    <s v="Algea Killer 8 oz"/>
    <n v="9"/>
    <n v="14"/>
    <n v="5"/>
    <n v="0.5"/>
    <s v="Chalie"/>
    <x v="0"/>
    <s v="NV"/>
  </r>
  <r>
    <s v="June"/>
    <n v="1083"/>
    <n v="1109"/>
    <s v="Chlorine Test Kit"/>
    <n v="3"/>
    <n v="8"/>
    <n v="5"/>
    <n v="0.5"/>
    <s v="Chalie"/>
    <x v="0"/>
    <s v="NV"/>
  </r>
  <r>
    <s v="Aug"/>
    <n v="1127"/>
    <n v="8722"/>
    <s v="Water Pump"/>
    <n v="344"/>
    <n v="502"/>
    <n v="158"/>
    <n v="31.6"/>
    <s v="Chalie"/>
    <x v="0"/>
    <s v="NV"/>
  </r>
  <r>
    <s v="Aug"/>
    <n v="1135"/>
    <n v="8722"/>
    <s v="Water Pump"/>
    <n v="344"/>
    <n v="502"/>
    <n v="158"/>
    <n v="31.6"/>
    <s v="Chalie"/>
    <x v="0"/>
    <s v="NV"/>
  </r>
  <r>
    <s v="Oct"/>
    <n v="1152"/>
    <n v="4421"/>
    <s v="Skimmer"/>
    <n v="45"/>
    <n v="87"/>
    <n v="42"/>
    <n v="8.4"/>
    <s v="Chalie"/>
    <x v="0"/>
    <s v="NV"/>
  </r>
  <r>
    <s v="Nov"/>
    <n v="1158"/>
    <n v="8722"/>
    <s v="Water Pump"/>
    <n v="344"/>
    <n v="502"/>
    <n v="158"/>
    <n v="31.6"/>
    <s v="Chalie"/>
    <x v="0"/>
    <s v="NV"/>
  </r>
  <r>
    <s v="Feb"/>
    <n v="1030"/>
    <n v="4421"/>
    <s v="Skimmer"/>
    <n v="45"/>
    <n v="87"/>
    <n v="42"/>
    <n v="8.4"/>
    <s v="Juan"/>
    <x v="1"/>
    <s v="NV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April"/>
    <n v="1055"/>
    <n v="6119"/>
    <s v="Algea Killer 8 oz"/>
    <n v="9"/>
    <n v="14"/>
    <n v="5"/>
    <n v="0.5"/>
    <s v="Juan"/>
    <x v="1"/>
    <s v="NV"/>
  </r>
  <r>
    <s v="May"/>
    <n v="1078"/>
    <n v="2877"/>
    <s v="Net"/>
    <n v="11.4"/>
    <n v="16.3"/>
    <n v="4.9000000000000004"/>
    <n v="0.49000000000000005"/>
    <s v="Juan"/>
    <x v="1"/>
    <s v="NV"/>
  </r>
  <r>
    <s v="July"/>
    <n v="1102"/>
    <n v="2242"/>
    <s v="AutoVac"/>
    <n v="60"/>
    <n v="124"/>
    <n v="64"/>
    <n v="12.8"/>
    <s v="Juan"/>
    <x v="1"/>
    <s v="NV"/>
  </r>
  <r>
    <s v="Aug"/>
    <n v="1140"/>
    <n v="4421"/>
    <s v="Skimmer"/>
    <n v="45"/>
    <n v="87"/>
    <n v="42"/>
    <n v="8.4"/>
    <s v="Juan"/>
    <x v="1"/>
    <s v="NV"/>
  </r>
  <r>
    <s v="Sept"/>
    <n v="1142"/>
    <n v="2242"/>
    <s v="AutoVac"/>
    <n v="60"/>
    <n v="124"/>
    <n v="64"/>
    <n v="12.8"/>
    <s v="Juan"/>
    <x v="1"/>
    <s v="NV"/>
  </r>
  <r>
    <s v="Oct"/>
    <n v="1154"/>
    <n v="9822"/>
    <s v="Pool Cover"/>
    <n v="58.3"/>
    <n v="98.4"/>
    <n v="40.100000000000009"/>
    <n v="8.0200000000000014"/>
    <s v="Juan"/>
    <x v="1"/>
    <s v="NV"/>
  </r>
  <r>
    <s v="Dec"/>
    <n v="1171"/>
    <n v="4421"/>
    <s v="Skimmer"/>
    <n v="45"/>
    <n v="87"/>
    <n v="42"/>
    <n v="8.4"/>
    <s v="Juan"/>
    <x v="1"/>
    <s v="NV"/>
  </r>
  <r>
    <s v="Feb"/>
    <n v="1025"/>
    <n v="2877"/>
    <s v="Net"/>
    <n v="11.4"/>
    <n v="16.3"/>
    <n v="4.9000000000000004"/>
    <n v="0.49000000000000005"/>
    <s v="Hellen"/>
    <x v="2"/>
    <s v="NV"/>
  </r>
  <r>
    <s v="June"/>
    <n v="1091"/>
    <n v="2877"/>
    <s v="Net"/>
    <n v="11.4"/>
    <n v="16.3"/>
    <n v="4.9000000000000004"/>
    <n v="0.49000000000000005"/>
    <s v="Hellen"/>
    <x v="2"/>
    <s v="NV"/>
  </r>
  <r>
    <s v="June"/>
    <n v="1097"/>
    <n v="9212"/>
    <s v="1 Gal Muratic Acid"/>
    <n v="4"/>
    <n v="7"/>
    <n v="3"/>
    <n v="0.30000000000000004"/>
    <s v="Hellen"/>
    <x v="2"/>
    <s v="NV"/>
  </r>
  <r>
    <s v="July"/>
    <n v="1110"/>
    <n v="8722"/>
    <s v="Water Pump"/>
    <n v="344"/>
    <n v="502"/>
    <n v="158"/>
    <n v="31.6"/>
    <s v="Hellen"/>
    <x v="2"/>
    <s v="NV"/>
  </r>
  <r>
    <s v="Aug"/>
    <n v="1129"/>
    <n v="9822"/>
    <s v="Pool Cover"/>
    <n v="58.3"/>
    <n v="98.4"/>
    <n v="40.100000000000009"/>
    <n v="8.0200000000000014"/>
    <s v="Hellen"/>
    <x v="2"/>
    <s v="NV"/>
  </r>
  <r>
    <s v="Sept"/>
    <n v="1146"/>
    <n v="8722"/>
    <s v="Water Pump"/>
    <n v="344"/>
    <n v="502"/>
    <n v="158"/>
    <n v="31.6"/>
    <s v="Hellen"/>
    <x v="2"/>
    <s v="NV"/>
  </r>
  <r>
    <s v="Nov"/>
    <n v="1160"/>
    <n v="9822"/>
    <s v="Pool Cover"/>
    <n v="58.3"/>
    <n v="98.4"/>
    <n v="40.100000000000009"/>
    <n v="8.0200000000000014"/>
    <s v="Hellen"/>
    <x v="2"/>
    <s v="NV"/>
  </r>
  <r>
    <s v="Feb"/>
    <n v="1020"/>
    <n v="2499"/>
    <s v="8 ft Hose"/>
    <n v="6.2"/>
    <n v="9.1999999999999993"/>
    <n v="2.9999999999999991"/>
    <n v="0.29999999999999993"/>
    <s v="Doug"/>
    <x v="3"/>
    <s v="NV"/>
  </r>
  <r>
    <s v="April"/>
    <n v="1054"/>
    <n v="4421"/>
    <s v="Skimmer"/>
    <n v="45"/>
    <n v="87"/>
    <n v="42"/>
    <n v="8.4"/>
    <s v="Doug"/>
    <x v="3"/>
    <s v="NV"/>
  </r>
  <r>
    <s v="April"/>
    <n v="1060"/>
    <n v="6119"/>
    <s v="Algea Killer 8 oz"/>
    <n v="9"/>
    <n v="14"/>
    <n v="5"/>
    <n v="0.5"/>
    <s v="Doug"/>
    <x v="3"/>
    <s v="NV"/>
  </r>
  <r>
    <s v="May"/>
    <n v="1061"/>
    <n v="1109"/>
    <s v="Chlorine Test Kit"/>
    <n v="3"/>
    <n v="8"/>
    <n v="5"/>
    <n v="0.5"/>
    <s v="Doug"/>
    <x v="3"/>
    <s v="NV"/>
  </r>
  <r>
    <s v="May"/>
    <n v="1066"/>
    <n v="2877"/>
    <s v="Net"/>
    <n v="11.4"/>
    <n v="16.3"/>
    <n v="4.9000000000000004"/>
    <n v="0.49000000000000005"/>
    <s v="Doug"/>
    <x v="3"/>
    <s v="NV"/>
  </r>
  <r>
    <s v="May"/>
    <n v="1072"/>
    <n v="1109"/>
    <s v="Chlorine Test Kit"/>
    <n v="3"/>
    <n v="8"/>
    <n v="5"/>
    <n v="0.5"/>
    <s v="Doug"/>
    <x v="3"/>
    <s v="NV"/>
  </r>
  <r>
    <s v="June"/>
    <n v="1085"/>
    <n v="9822"/>
    <s v="Pool Cover"/>
    <n v="58.3"/>
    <n v="98.4"/>
    <n v="40.100000000000009"/>
    <n v="8.0200000000000014"/>
    <s v="Doug"/>
    <x v="3"/>
    <s v="NV"/>
  </r>
  <r>
    <s v="June"/>
    <n v="1089"/>
    <n v="6119"/>
    <s v="Algea Killer 8 oz"/>
    <n v="9"/>
    <n v="14"/>
    <n v="5"/>
    <n v="0.5"/>
    <s v="Doug"/>
    <x v="3"/>
    <s v="NV"/>
  </r>
  <r>
    <s v="July"/>
    <n v="1104"/>
    <n v="2877"/>
    <s v="Net"/>
    <n v="11.4"/>
    <n v="16.3"/>
    <n v="4.9000000000000004"/>
    <n v="0.49000000000000005"/>
    <s v="Doug"/>
    <x v="3"/>
    <s v="NV"/>
  </r>
  <r>
    <s v="July"/>
    <n v="1108"/>
    <n v="9822"/>
    <s v="Pool Cover"/>
    <n v="58.3"/>
    <n v="98.4"/>
    <n v="40.100000000000009"/>
    <n v="8.0200000000000014"/>
    <s v="Doug"/>
    <x v="3"/>
    <s v="NV"/>
  </r>
  <r>
    <s v="July"/>
    <n v="1116"/>
    <n v="6622"/>
    <s v="5 Gal Chlorine"/>
    <n v="42"/>
    <n v="77"/>
    <n v="35"/>
    <n v="7"/>
    <s v="Doug"/>
    <x v="3"/>
    <s v="NV"/>
  </r>
  <r>
    <s v="July"/>
    <n v="1121"/>
    <n v="4421"/>
    <s v="Skimmer"/>
    <n v="45"/>
    <n v="87"/>
    <n v="42"/>
    <n v="8.4"/>
    <s v="Doug"/>
    <x v="3"/>
    <s v="NV"/>
  </r>
  <r>
    <s v="July"/>
    <n v="1123"/>
    <n v="9822"/>
    <s v="Pool Cover"/>
    <n v="58.3"/>
    <n v="98.4"/>
    <n v="40.100000000000009"/>
    <n v="8.0200000000000014"/>
    <s v="Doug"/>
    <x v="3"/>
    <s v="NV"/>
  </r>
  <r>
    <s v="Nov"/>
    <n v="1166"/>
    <n v="8722"/>
    <s v="Water Pump"/>
    <n v="344"/>
    <n v="502"/>
    <n v="158"/>
    <n v="31.6"/>
    <s v="Doug"/>
    <x v="3"/>
    <s v="NV"/>
  </r>
  <r>
    <s v="July"/>
    <n v="1100"/>
    <n v="6119"/>
    <s v="Algea Killer 8 oz"/>
    <n v="9"/>
    <n v="14"/>
    <n v="5"/>
    <n v="0.5"/>
    <s v="Chalie"/>
    <x v="0"/>
    <s v="UT"/>
  </r>
  <r>
    <s v="July"/>
    <n v="1119"/>
    <n v="2242"/>
    <s v="AutoVac"/>
    <n v="60"/>
    <n v="124"/>
    <n v="64"/>
    <n v="12.8"/>
    <s v="Chalie"/>
    <x v="0"/>
    <s v="UT"/>
  </r>
  <r>
    <s v="Aug"/>
    <n v="1138"/>
    <n v="8722"/>
    <s v="Water Pump"/>
    <n v="344"/>
    <n v="502"/>
    <n v="158"/>
    <n v="31.6"/>
    <s v="Chalie"/>
    <x v="0"/>
    <s v="UT"/>
  </r>
  <r>
    <s v="Feb"/>
    <n v="1024"/>
    <n v="9212"/>
    <s v="1 Gal Muratic Acid"/>
    <n v="4"/>
    <n v="7"/>
    <n v="3"/>
    <n v="0.30000000000000004"/>
    <s v="Juan"/>
    <x v="1"/>
    <s v="UT"/>
  </r>
  <r>
    <s v="Mar"/>
    <n v="1046"/>
    <n v="6119"/>
    <s v="Algea Killer 8 oz"/>
    <n v="9"/>
    <n v="14"/>
    <n v="5"/>
    <n v="0.5"/>
    <s v="Juan"/>
    <x v="1"/>
    <s v="UT"/>
  </r>
  <r>
    <s v="Feb"/>
    <n v="1022"/>
    <n v="2877"/>
    <s v="Net"/>
    <n v="11.4"/>
    <n v="16.3"/>
    <n v="4.9000000000000004"/>
    <n v="0.49000000000000005"/>
    <s v="Doug"/>
    <x v="3"/>
    <s v="UT"/>
  </r>
  <r>
    <s v="April"/>
    <n v="1051"/>
    <n v="6119"/>
    <s v="Algea Killer 8 oz"/>
    <n v="9"/>
    <n v="14"/>
    <n v="5"/>
    <n v="0.5"/>
    <s v="Doug"/>
    <x v="3"/>
    <s v="UT"/>
  </r>
  <r>
    <s v="May"/>
    <n v="1067"/>
    <n v="2877"/>
    <s v="Net"/>
    <n v="11.4"/>
    <n v="16.3"/>
    <n v="4.9000000000000004"/>
    <n v="0.49000000000000005"/>
    <s v="Doug"/>
    <x v="3"/>
    <s v="UT"/>
  </r>
  <r>
    <s v="June"/>
    <n v="1081"/>
    <n v="6119"/>
    <s v="Algea Killer 8 oz"/>
    <n v="9"/>
    <n v="14"/>
    <n v="5"/>
    <n v="0.5"/>
    <s v="Doug"/>
    <x v="3"/>
    <s v="UT"/>
  </r>
  <r>
    <s v="Oct"/>
    <n v="1150"/>
    <n v="2242"/>
    <s v="AutoVac"/>
    <n v="60"/>
    <n v="124"/>
    <n v="64"/>
    <n v="12.8"/>
    <s v="Doug"/>
    <x v="3"/>
    <s v="UT"/>
  </r>
  <r>
    <s v="Dec"/>
    <n v="1169"/>
    <n v="8722"/>
    <s v="Water Pump"/>
    <n v="344"/>
    <n v="502"/>
    <n v="158"/>
    <n v="31.6"/>
    <s v="Doug"/>
    <x v="3"/>
    <s v="U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7"/>
    <n v="40326.800000000003"/>
    <n v="2372.1647058823532"/>
    <s v="Black"/>
    <x v="0"/>
    <n v="50000"/>
    <s v="Y"/>
    <s v="FD06MTGBLA001"/>
  </r>
  <r>
    <s v="FD06MTG002"/>
    <s v="FD"/>
    <s v="Ford"/>
    <s v="MTG"/>
    <s v="Mustang"/>
    <s v="06"/>
    <n v="17"/>
    <n v="44974.8"/>
    <n v="2645.5764705882357"/>
    <s v="White"/>
    <x v="1"/>
    <n v="50000"/>
    <s v="Y"/>
    <s v="FD06MTGWHI002"/>
  </r>
  <r>
    <s v="FD08MTG003"/>
    <s v="FD"/>
    <s v="Ford"/>
    <s v="MTG"/>
    <s v="Mustang"/>
    <s v="08"/>
    <n v="15"/>
    <n v="44946.5"/>
    <n v="2996.4333333333334"/>
    <s v="Green"/>
    <x v="2"/>
    <n v="50000"/>
    <s v="Y"/>
    <s v="FD08MTGGRE003"/>
  </r>
  <r>
    <s v="FD08MTG004"/>
    <s v="FD"/>
    <s v="Ford"/>
    <s v="MTG"/>
    <s v="Mustang"/>
    <s v="08"/>
    <n v="15"/>
    <n v="37558.800000000003"/>
    <n v="2503.92"/>
    <s v="Black"/>
    <x v="3"/>
    <n v="50000"/>
    <s v="Y"/>
    <s v="FD08MTGBLA004"/>
  </r>
  <r>
    <s v="FD08MTG005"/>
    <s v="FD"/>
    <s v="Ford"/>
    <s v="MTG"/>
    <s v="Mustang"/>
    <s v="08"/>
    <n v="15"/>
    <n v="36438.5"/>
    <n v="2429.2333333333331"/>
    <s v="White"/>
    <x v="0"/>
    <n v="50000"/>
    <s v="Y"/>
    <s v="FD08MTGWHI005"/>
  </r>
  <r>
    <s v="FD06FCS006"/>
    <s v="FD"/>
    <s v="Ford"/>
    <s v="FCS"/>
    <s v="Focus"/>
    <s v="06"/>
    <n v="17"/>
    <n v="46311.4"/>
    <n v="2724.2000000000003"/>
    <s v="Green"/>
    <x v="4"/>
    <n v="75000"/>
    <s v="Y"/>
    <s v="FD06FCSGRE006"/>
  </r>
  <r>
    <s v="FD06FCS007"/>
    <s v="FD"/>
    <s v="Ford"/>
    <s v="FCS"/>
    <s v="Focus"/>
    <s v="06"/>
    <n v="17"/>
    <n v="52229.5"/>
    <n v="3072.3235294117649"/>
    <s v="Green"/>
    <x v="2"/>
    <n v="75000"/>
    <s v="Y"/>
    <s v="FD06FCSGRE007"/>
  </r>
  <r>
    <s v="FD09FCS008"/>
    <s v="FD"/>
    <s v="Ford"/>
    <s v="FCS"/>
    <s v="Focus"/>
    <s v="09"/>
    <n v="14"/>
    <n v="35137"/>
    <n v="2509.7857142857142"/>
    <s v="Black"/>
    <x v="5"/>
    <n v="75000"/>
    <s v="Y"/>
    <s v="FD09FCSBLA008"/>
  </r>
  <r>
    <s v="FD13FCS009"/>
    <s v="FD"/>
    <s v="Ford"/>
    <s v="FCS"/>
    <s v="Focus"/>
    <s v="13"/>
    <n v="10"/>
    <n v="27637.1"/>
    <n v="2763.71"/>
    <s v="Black"/>
    <x v="0"/>
    <n v="75000"/>
    <s v="Y"/>
    <s v="FD13FCSBLA009"/>
  </r>
  <r>
    <s v="FD13FCS010"/>
    <s v="FD"/>
    <s v="Ford"/>
    <s v="FCS"/>
    <s v="Focus"/>
    <s v="13"/>
    <n v="10"/>
    <n v="27534.799999999999"/>
    <n v="2753.48"/>
    <s v="White"/>
    <x v="6"/>
    <n v="75000"/>
    <s v="Y"/>
    <s v="FD13FCSWHI010"/>
  </r>
  <r>
    <s v="FD12FCS011"/>
    <s v="FD"/>
    <s v="Ford"/>
    <s v="FCS"/>
    <s v="Focus"/>
    <s v="12"/>
    <n v="11"/>
    <n v="19341.7"/>
    <n v="1758.3363636363638"/>
    <s v="White"/>
    <x v="7"/>
    <n v="75000"/>
    <s v="Y"/>
    <s v="FD12FCSWHI011"/>
  </r>
  <r>
    <s v="FD13FCS012"/>
    <s v="FD"/>
    <s v="Ford"/>
    <s v="FCS"/>
    <s v="Focus"/>
    <s v="13"/>
    <n v="10"/>
    <n v="22521.599999999999"/>
    <n v="2252.16"/>
    <s v="Black"/>
    <x v="8"/>
    <n v="75000"/>
    <s v="Y"/>
    <s v="FD13FCSBLA012"/>
  </r>
  <r>
    <s v="FD13FCS013"/>
    <s v="FD"/>
    <s v="Ford"/>
    <s v="FCS"/>
    <s v="Focus"/>
    <s v="13"/>
    <n v="10"/>
    <n v="13682.9"/>
    <n v="1368.29"/>
    <s v="Black"/>
    <x v="9"/>
    <n v="75000"/>
    <s v="Y"/>
    <s v="FD13FCSBLA013"/>
  </r>
  <r>
    <s v="GM09CMR014"/>
    <s v="GM"/>
    <s v="General Mortors"/>
    <s v="CMR"/>
    <s v="Camero"/>
    <s v="09"/>
    <n v="14"/>
    <n v="28464.799999999999"/>
    <n v="2033.2"/>
    <s v="White"/>
    <x v="10"/>
    <n v="100000"/>
    <s v="Y"/>
    <s v="GM09CMRWHI014"/>
  </r>
  <r>
    <s v="GM12CMR015"/>
    <s v="GM"/>
    <s v="General Mortors"/>
    <s v="CMR"/>
    <s v="Camero"/>
    <s v="12"/>
    <n v="11"/>
    <n v="19421.099999999999"/>
    <n v="1765.5545454545454"/>
    <s v="Black"/>
    <x v="11"/>
    <n v="100000"/>
    <s v="Y"/>
    <s v="GM12CMRBLA015"/>
  </r>
  <r>
    <s v="GM14CMR016"/>
    <s v="GM"/>
    <s v="General Mortors"/>
    <s v="CMR"/>
    <s v="Camero"/>
    <s v="14"/>
    <n v="9"/>
    <n v="14289.6"/>
    <n v="1587.7333333333333"/>
    <s v="White"/>
    <x v="12"/>
    <n v="100000"/>
    <s v="Y"/>
    <s v="GM14CMRWHI016"/>
  </r>
  <r>
    <s v="GM10SLV017"/>
    <s v="GM"/>
    <s v="General Mortors"/>
    <s v="SLV"/>
    <s v="Silverado"/>
    <s v="10"/>
    <n v="13"/>
    <n v="31144.400000000001"/>
    <n v="2395.7230769230769"/>
    <s v="Black"/>
    <x v="13"/>
    <n v="100000"/>
    <s v="Y"/>
    <s v="GM10SLVBLA017"/>
  </r>
  <r>
    <s v="GM98SLV018"/>
    <s v="GM"/>
    <s v="General Mortors"/>
    <s v="SLV"/>
    <s v="Silverado"/>
    <s v="98"/>
    <n v="25"/>
    <n v="83162.7"/>
    <n v="3326.5079999999998"/>
    <s v="Black"/>
    <x v="10"/>
    <n v="100000"/>
    <s v="Y"/>
    <s v="GM98SLVBLA018"/>
  </r>
  <r>
    <s v="GM00SLV019"/>
    <s v="GM"/>
    <s v="General Mortors"/>
    <s v="SLV"/>
    <s v="Silverado"/>
    <s v="00"/>
    <n v="23"/>
    <n v="80685.8"/>
    <n v="3508.0782608695654"/>
    <s v="Blue"/>
    <x v="8"/>
    <n v="100000"/>
    <s v="Y"/>
    <s v="GM00SLVBLU019"/>
  </r>
  <r>
    <s v="TY96CAM020"/>
    <s v="TY"/>
    <s v="Toyota"/>
    <s v="CAM"/>
    <s v="Camrey"/>
    <s v="96"/>
    <n v="27"/>
    <n v="114660.6"/>
    <n v="4246.6888888888889"/>
    <s v="Green"/>
    <x v="14"/>
    <n v="100000"/>
    <s v="Not Covered"/>
    <s v="TY96CAMGRE020"/>
  </r>
  <r>
    <s v="TY98CAM021"/>
    <s v="TY"/>
    <s v="Toyota"/>
    <s v="CAM"/>
    <s v="Camrey"/>
    <s v="98"/>
    <n v="25"/>
    <n v="93382.6"/>
    <n v="3735.3040000000001"/>
    <s v="Black"/>
    <x v="15"/>
    <n v="100000"/>
    <s v="Y"/>
    <s v="TY98CAMBLA021"/>
  </r>
  <r>
    <s v="TY00CAM022"/>
    <s v="TY"/>
    <s v="Toyota"/>
    <s v="CAM"/>
    <s v="Camrey"/>
    <s v="00"/>
    <n v="23"/>
    <n v="85928"/>
    <n v="3736"/>
    <s v="Green"/>
    <x v="4"/>
    <n v="100000"/>
    <s v="Y"/>
    <s v="TY00CAMGRE022"/>
  </r>
  <r>
    <s v="TY02CAM023"/>
    <s v="TY"/>
    <s v="Toyota"/>
    <s v="CAM"/>
    <s v="Camrey"/>
    <s v="02"/>
    <n v="21"/>
    <n v="67829.100000000006"/>
    <n v="3229.957142857143"/>
    <s v="Black"/>
    <x v="0"/>
    <n v="100000"/>
    <s v="Y"/>
    <s v="TY02CAMBLA023"/>
  </r>
  <r>
    <s v="TY09CAM024"/>
    <s v="TY"/>
    <s v="Toyota"/>
    <s v="CAM"/>
    <s v="Camrey"/>
    <s v="09"/>
    <n v="14"/>
    <n v="48114.2"/>
    <n v="3436.7285714285713"/>
    <s v="White"/>
    <x v="5"/>
    <n v="100000"/>
    <s v="Y"/>
    <s v="TY09CAMWHI024"/>
  </r>
  <r>
    <s v="TY02COR025"/>
    <s v="TY"/>
    <s v="Toyota"/>
    <s v="COR"/>
    <s v="Corola"/>
    <s v="02"/>
    <n v="21"/>
    <n v="64467.4"/>
    <n v="3069.8761904761905"/>
    <s v="Red"/>
    <x v="16"/>
    <n v="100000"/>
    <s v="Y"/>
    <s v="TY02CORRED025"/>
  </r>
  <r>
    <s v="TY03COR026"/>
    <s v="TY"/>
    <s v="Toyota"/>
    <s v="COR"/>
    <s v="Corola"/>
    <s v="03"/>
    <n v="20"/>
    <n v="73444.399999999994"/>
    <n v="3672.22"/>
    <s v="Black"/>
    <x v="16"/>
    <n v="100000"/>
    <s v="Y"/>
    <s v="TY03CORBLA026"/>
  </r>
  <r>
    <s v="TY14COR027"/>
    <s v="TY"/>
    <s v="Toyota"/>
    <s v="COR"/>
    <s v="Corola"/>
    <s v="14"/>
    <n v="9"/>
    <n v="17556.3"/>
    <n v="1950.6999999999998"/>
    <s v="Blue"/>
    <x v="6"/>
    <n v="100000"/>
    <s v="Y"/>
    <s v="TY14CORBLU027"/>
  </r>
  <r>
    <s v="TY12COR028"/>
    <s v="TY"/>
    <s v="Toyota"/>
    <s v="COR"/>
    <s v="Corola"/>
    <s v="12"/>
    <n v="11"/>
    <n v="29601.9"/>
    <n v="2691.0818181818181"/>
    <s v="Black"/>
    <x v="10"/>
    <n v="100000"/>
    <s v="Y"/>
    <s v="TY12CORBLA028"/>
  </r>
  <r>
    <s v="TY12CAM029"/>
    <s v="TY"/>
    <s v="Toyota"/>
    <s v="CAM"/>
    <s v="Camrey"/>
    <s v="12"/>
    <n v="11"/>
    <n v="22128.2"/>
    <n v="2011.6545454545455"/>
    <s v="Blue"/>
    <x v="14"/>
    <n v="100000"/>
    <s v="Y"/>
    <s v="TY12CAMBLU029"/>
  </r>
  <r>
    <s v="HO99CIV030"/>
    <s v="HO"/>
    <s v="Honda"/>
    <s v="CIV"/>
    <s v="Civic"/>
    <s v="99"/>
    <n v="24"/>
    <n v="82374"/>
    <n v="3432.25"/>
    <s v="White"/>
    <x v="9"/>
    <n v="75000"/>
    <s v="Not Covered"/>
    <s v="HO99CIVWHI030"/>
  </r>
  <r>
    <s v="HO01CIV031"/>
    <s v="HO"/>
    <s v="Honda"/>
    <s v="CIV"/>
    <s v="Civic"/>
    <s v="01"/>
    <n v="22"/>
    <n v="69891.899999999994"/>
    <n v="3176.9045454545453"/>
    <s v="Blue"/>
    <x v="3"/>
    <n v="75000"/>
    <s v="Y"/>
    <s v="HO01CIVBLU031"/>
  </r>
  <r>
    <s v="HO10CIV032"/>
    <s v="HO"/>
    <s v="Honda"/>
    <s v="CIV"/>
    <s v="Civic"/>
    <s v="10"/>
    <n v="13"/>
    <n v="22573"/>
    <n v="1736.3846153846155"/>
    <s v="Blue"/>
    <x v="12"/>
    <n v="75000"/>
    <s v="Y"/>
    <s v="HO10CIVBLU032"/>
  </r>
  <r>
    <s v="HO10CIV033"/>
    <s v="HO"/>
    <s v="Honda"/>
    <s v="CIV"/>
    <s v="Civic"/>
    <s v="10"/>
    <n v="13"/>
    <n v="33477.199999999997"/>
    <n v="2575.1692307692306"/>
    <s v="Black"/>
    <x v="15"/>
    <n v="75000"/>
    <s v="Y"/>
    <s v="HO10CIVBLA033"/>
  </r>
  <r>
    <s v="HO11CIV034"/>
    <s v="HO"/>
    <s v="Honda"/>
    <s v="CIV"/>
    <s v="Civic"/>
    <s v="11"/>
    <n v="12"/>
    <n v="30555.3"/>
    <n v="2546.2750000000001"/>
    <s v="Black"/>
    <x v="2"/>
    <n v="75000"/>
    <s v="Y"/>
    <s v="HO11CIVBLA034"/>
  </r>
  <r>
    <s v="HO12CIV035"/>
    <s v="HO"/>
    <s v="Honda"/>
    <s v="CIV"/>
    <s v="Civic"/>
    <s v="12"/>
    <n v="11"/>
    <n v="24513.200000000001"/>
    <n v="2228.4727272727273"/>
    <s v="Black"/>
    <x v="13"/>
    <n v="75000"/>
    <s v="Y"/>
    <s v="HO12CIVBLA035"/>
  </r>
  <r>
    <s v="HO13CIV036"/>
    <s v="HO"/>
    <s v="Honda"/>
    <s v="CIV"/>
    <s v="Civic"/>
    <s v="13"/>
    <n v="10"/>
    <n v="13867.6"/>
    <n v="1386.76"/>
    <s v="Black"/>
    <x v="14"/>
    <n v="75000"/>
    <s v="Y"/>
    <s v="HO13CIVBLA036"/>
  </r>
  <r>
    <s v="HO05ODY037"/>
    <s v="HO"/>
    <s v="Honda"/>
    <s v="ODY"/>
    <s v="Odyssey"/>
    <s v="05"/>
    <n v="18"/>
    <n v="60389.5"/>
    <n v="3354.9722222222222"/>
    <s v="White"/>
    <x v="5"/>
    <n v="100000"/>
    <s v="Y"/>
    <s v="HO05ODYWHI037"/>
  </r>
  <r>
    <s v="HO07ODY038"/>
    <s v="HO"/>
    <s v="Honda"/>
    <s v="ODY"/>
    <s v="Odyssey"/>
    <s v="07"/>
    <n v="16"/>
    <n v="50854.1"/>
    <n v="3178.3812499999999"/>
    <s v="Black"/>
    <x v="15"/>
    <n v="100000"/>
    <s v="Y"/>
    <s v="HO07ODYBLA038"/>
  </r>
  <r>
    <s v="HO08ODY039"/>
    <s v="HO"/>
    <s v="Honda"/>
    <s v="ODY"/>
    <s v="Odyssey"/>
    <s v="08"/>
    <n v="15"/>
    <n v="42504.6"/>
    <n v="2833.64"/>
    <s v="White"/>
    <x v="9"/>
    <n v="100000"/>
    <s v="Y"/>
    <s v="HO08ODYWHI039"/>
  </r>
  <r>
    <s v="HO01ODY040"/>
    <s v="HO"/>
    <s v="Honda"/>
    <s v="ODY"/>
    <s v="Odyssey"/>
    <s v="01"/>
    <n v="22"/>
    <n v="68658.899999999994"/>
    <n v="3120.8590909090908"/>
    <s v="Black"/>
    <x v="0"/>
    <n v="100000"/>
    <s v="Y"/>
    <s v="HO01ODYBLA040"/>
  </r>
  <r>
    <s v="HO14ODY041"/>
    <s v="HO"/>
    <s v="Honda"/>
    <s v="ODY"/>
    <s v="Odyssey"/>
    <s v="14"/>
    <n v="9"/>
    <n v="3708.1"/>
    <n v="412.01111111111112"/>
    <s v="Black"/>
    <x v="1"/>
    <n v="100000"/>
    <s v="Y"/>
    <s v="HO14ODYBLA041"/>
  </r>
  <r>
    <s v="CR04PTC042"/>
    <s v="CR"/>
    <s v="Chrysler"/>
    <s v="PTC"/>
    <s v="PT Cruiser"/>
    <s v="04"/>
    <n v="19"/>
    <n v="64542"/>
    <n v="3396.9473684210525"/>
    <s v="Blue"/>
    <x v="0"/>
    <n v="75000"/>
    <s v="Y"/>
    <s v="CR04PTCBLU042"/>
  </r>
  <r>
    <s v="CR07PTC043"/>
    <s v="CR"/>
    <s v="Chrysler"/>
    <s v="PTC"/>
    <s v="PT Cruiser"/>
    <s v="07"/>
    <n v="16"/>
    <n v="42074.2"/>
    <n v="2629.6374999999998"/>
    <s v="Green"/>
    <x v="16"/>
    <n v="75000"/>
    <s v="Y"/>
    <s v="CR07PTCGRE043"/>
  </r>
  <r>
    <s v="CR11PTC044"/>
    <s v="CR"/>
    <s v="Chrysler"/>
    <s v="PTC"/>
    <s v="PT Cruiser"/>
    <s v="11"/>
    <n v="12"/>
    <n v="27394.2"/>
    <n v="2282.85"/>
    <s v="Black"/>
    <x v="8"/>
    <n v="75000"/>
    <s v="Y"/>
    <s v="CR11PTCBLA044"/>
  </r>
  <r>
    <s v="CR99CAR045"/>
    <s v="CR"/>
    <s v="Chrysler"/>
    <s v="CAR"/>
    <s v="Caravan"/>
    <s v="99"/>
    <n v="24"/>
    <n v="79420.600000000006"/>
    <n v="3309.1916666666671"/>
    <s v="Green"/>
    <x v="13"/>
    <n v="75000"/>
    <s v="Not Covered"/>
    <s v="CR99CARGRE045"/>
  </r>
  <r>
    <s v="CR00CAR046"/>
    <s v="CR"/>
    <s v="Chrysler"/>
    <s v="CAR"/>
    <s v="Caravan"/>
    <s v="00"/>
    <n v="23"/>
    <n v="77243.100000000006"/>
    <n v="3358.3956521739133"/>
    <s v="Black"/>
    <x v="3"/>
    <n v="75000"/>
    <s v="Not Covered"/>
    <s v="CR00CARBLA046"/>
  </r>
  <r>
    <s v="CR04CAR047"/>
    <s v="CR"/>
    <s v="Chrysler"/>
    <s v="CAR"/>
    <s v="Caravan"/>
    <s v="04"/>
    <n v="19"/>
    <n v="72527.199999999997"/>
    <n v="3817.2210526315789"/>
    <s v="White"/>
    <x v="11"/>
    <n v="75000"/>
    <s v="Y"/>
    <s v="CR04CARWHI047"/>
  </r>
  <r>
    <s v="CR04CAR048"/>
    <s v="CR"/>
    <s v="Chrysler"/>
    <s v="CAR"/>
    <s v="Caravan"/>
    <s v="04"/>
    <n v="19"/>
    <n v="52699.4"/>
    <n v="2773.6526315789474"/>
    <s v="Red"/>
    <x v="11"/>
    <n v="75000"/>
    <s v="Y"/>
    <s v="CR04CARRED048"/>
  </r>
  <r>
    <s v="HY11ELA049"/>
    <s v="HY"/>
    <s v="Hundai"/>
    <s v="ELA"/>
    <s v="Elantra"/>
    <s v="11"/>
    <n v="12"/>
    <n v="29102.3"/>
    <n v="2425.1916666666666"/>
    <s v="Black"/>
    <x v="12"/>
    <n v="100000"/>
    <s v="Y"/>
    <s v="HY11ELABLA049"/>
  </r>
  <r>
    <s v="HY12ELA050"/>
    <s v="HY"/>
    <s v="Hundai"/>
    <s v="ELA"/>
    <s v="Elantra"/>
    <s v="12"/>
    <n v="11"/>
    <n v="22282"/>
    <n v="2025.6363636363637"/>
    <s v="Blue"/>
    <x v="1"/>
    <n v="100000"/>
    <s v="Y"/>
    <s v="HY12ELABLU050"/>
  </r>
  <r>
    <s v="HY13ELA051"/>
    <s v="HY"/>
    <s v="Hundai"/>
    <s v="ELA"/>
    <s v="Elantra"/>
    <s v="13"/>
    <n v="10"/>
    <n v="20223.900000000001"/>
    <n v="2022.39"/>
    <s v="Black"/>
    <x v="6"/>
    <n v="100000"/>
    <s v="Y"/>
    <s v="HY13ELABLA051"/>
  </r>
  <r>
    <s v="HY13ELA052"/>
    <s v="HY"/>
    <s v="Hundai"/>
    <s v="ELA"/>
    <s v="Elantra"/>
    <s v="13"/>
    <n v="10"/>
    <n v="22188.5"/>
    <n v="2218.85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E2462-02C8-4340-97FB-376AF6EB11C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showAll="0"/>
    <pivotField numFmtId="169" showAll="0"/>
    <pivotField showAll="0"/>
    <pivotField showAll="0"/>
    <pivotField numFmtId="166" showAll="0"/>
    <pivotField dataField="1" numFmtId="166" showAll="0"/>
    <pivotField numFmtId="166" showAll="0"/>
    <pivotField numFmtId="166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formats count="1">
    <format dxfId="3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30E19-CC93-4CF9-A02A-035DC7D32EB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rabhi/Downloads/CrystalPools.xlsx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34D1-1DA1-4988-8770-EFC37BEBC98C}">
  <dimension ref="A1:B20"/>
  <sheetViews>
    <sheetView workbookViewId="0">
      <selection activeCell="H19" sqref="H19"/>
    </sheetView>
  </sheetViews>
  <sheetFormatPr defaultRowHeight="14.5"/>
  <sheetData>
    <row r="1" spans="1:2">
      <c r="A1" t="s">
        <v>3</v>
      </c>
      <c r="B1" t="s">
        <v>4</v>
      </c>
    </row>
    <row r="2" spans="1:2">
      <c r="B2" t="s">
        <v>5</v>
      </c>
    </row>
    <row r="3" spans="1:2">
      <c r="A3" t="s">
        <v>7</v>
      </c>
      <c r="B3" t="s">
        <v>6</v>
      </c>
    </row>
    <row r="4" spans="1:2">
      <c r="A4" t="s">
        <v>8</v>
      </c>
    </row>
    <row r="5" spans="1:2">
      <c r="A5">
        <v>1</v>
      </c>
      <c r="B5" t="s">
        <v>0</v>
      </c>
    </row>
    <row r="6" spans="1:2">
      <c r="A6">
        <v>2</v>
      </c>
      <c r="B6" t="s">
        <v>1</v>
      </c>
    </row>
    <row r="7" spans="1:2">
      <c r="A7">
        <v>3</v>
      </c>
      <c r="B7" t="s">
        <v>2</v>
      </c>
    </row>
    <row r="8" spans="1:2">
      <c r="A8">
        <v>4</v>
      </c>
      <c r="B8" t="s">
        <v>9</v>
      </c>
    </row>
    <row r="9" spans="1:2">
      <c r="A9">
        <v>5</v>
      </c>
      <c r="B9" t="s">
        <v>10</v>
      </c>
    </row>
    <row r="10" spans="1:2">
      <c r="A10">
        <v>6</v>
      </c>
      <c r="B10" t="s">
        <v>11</v>
      </c>
    </row>
    <row r="12" spans="1:2">
      <c r="A12" t="s">
        <v>12</v>
      </c>
    </row>
    <row r="13" spans="1:2">
      <c r="A13">
        <v>1</v>
      </c>
      <c r="B13" t="s">
        <v>13</v>
      </c>
    </row>
    <row r="14" spans="1:2">
      <c r="A14">
        <v>2</v>
      </c>
      <c r="B14" t="s">
        <v>14</v>
      </c>
    </row>
    <row r="15" spans="1:2">
      <c r="A15">
        <v>3</v>
      </c>
      <c r="B15" t="s">
        <v>15</v>
      </c>
    </row>
    <row r="16" spans="1:2">
      <c r="A16">
        <v>4</v>
      </c>
      <c r="B16" t="s">
        <v>16</v>
      </c>
    </row>
    <row r="17" spans="1:2">
      <c r="A17">
        <v>5</v>
      </c>
      <c r="B17" t="s">
        <v>17</v>
      </c>
    </row>
    <row r="18" spans="1:2">
      <c r="A18">
        <v>6</v>
      </c>
      <c r="B18" t="s">
        <v>18</v>
      </c>
    </row>
    <row r="19" spans="1:2">
      <c r="A19">
        <v>7</v>
      </c>
      <c r="B19" t="s">
        <v>19</v>
      </c>
    </row>
    <row r="20" spans="1:2">
      <c r="A20">
        <v>8</v>
      </c>
      <c r="B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5686-341C-47E0-8B11-C41E928D060E}">
  <dimension ref="A1:E25"/>
  <sheetViews>
    <sheetView workbookViewId="0">
      <selection activeCell="A3" sqref="A3:B20"/>
    </sheetView>
  </sheetViews>
  <sheetFormatPr defaultRowHeight="14.5"/>
  <cols>
    <col min="1" max="1" width="13" customWidth="1"/>
    <col min="2" max="2" width="12.81640625" customWidth="1"/>
    <col min="3" max="3" width="13.36328125" customWidth="1"/>
    <col min="4" max="4" width="14.26953125" bestFit="1" customWidth="1"/>
    <col min="5" max="5" width="13.36328125" customWidth="1"/>
  </cols>
  <sheetData>
    <row r="1" spans="1:5">
      <c r="A1" t="s">
        <v>21</v>
      </c>
      <c r="C1" t="s">
        <v>65</v>
      </c>
    </row>
    <row r="2" spans="1:5">
      <c r="D2" t="s">
        <v>25</v>
      </c>
      <c r="E2" t="s">
        <v>26</v>
      </c>
    </row>
    <row r="3" spans="1:5">
      <c r="A3" t="s">
        <v>22</v>
      </c>
      <c r="B3" t="s">
        <v>23</v>
      </c>
      <c r="C3" t="s">
        <v>24</v>
      </c>
      <c r="D3" s="1">
        <v>36892</v>
      </c>
    </row>
    <row r="4" spans="1:5">
      <c r="A4" t="s">
        <v>27</v>
      </c>
      <c r="B4" t="s">
        <v>28</v>
      </c>
      <c r="C4" s="4">
        <v>15.9</v>
      </c>
      <c r="D4">
        <v>40</v>
      </c>
      <c r="E4" s="5">
        <f>C4*D4</f>
        <v>636</v>
      </c>
    </row>
    <row r="5" spans="1:5">
      <c r="A5" t="s">
        <v>29</v>
      </c>
      <c r="B5" t="s">
        <v>30</v>
      </c>
      <c r="C5" s="4">
        <v>10</v>
      </c>
      <c r="D5">
        <v>42</v>
      </c>
      <c r="E5" s="5">
        <f t="shared" ref="E5:E20" si="0">C5*D5</f>
        <v>420</v>
      </c>
    </row>
    <row r="6" spans="1:5">
      <c r="A6" t="s">
        <v>31</v>
      </c>
      <c r="B6" t="s">
        <v>32</v>
      </c>
      <c r="C6" s="4">
        <v>22.1</v>
      </c>
      <c r="D6">
        <v>49</v>
      </c>
      <c r="E6" s="5">
        <f t="shared" si="0"/>
        <v>1082.9000000000001</v>
      </c>
    </row>
    <row r="7" spans="1:5">
      <c r="A7" t="s">
        <v>33</v>
      </c>
      <c r="B7" t="s">
        <v>34</v>
      </c>
      <c r="C7" s="4">
        <v>19.100000000000001</v>
      </c>
      <c r="D7">
        <v>41</v>
      </c>
      <c r="E7" s="5">
        <f t="shared" si="0"/>
        <v>783.1</v>
      </c>
    </row>
    <row r="8" spans="1:5">
      <c r="A8" t="s">
        <v>35</v>
      </c>
      <c r="B8" t="s">
        <v>36</v>
      </c>
      <c r="C8" s="4">
        <v>6.9</v>
      </c>
      <c r="D8">
        <v>39</v>
      </c>
      <c r="E8" s="5">
        <f t="shared" si="0"/>
        <v>269.10000000000002</v>
      </c>
    </row>
    <row r="9" spans="1:5">
      <c r="A9" t="s">
        <v>37</v>
      </c>
      <c r="B9" t="s">
        <v>38</v>
      </c>
      <c r="C9" s="4">
        <v>14.2</v>
      </c>
      <c r="D9">
        <v>44</v>
      </c>
      <c r="E9" s="5">
        <f t="shared" si="0"/>
        <v>624.79999999999995</v>
      </c>
    </row>
    <row r="10" spans="1:5">
      <c r="A10" t="s">
        <v>39</v>
      </c>
      <c r="B10" t="s">
        <v>40</v>
      </c>
      <c r="C10" s="4">
        <v>18</v>
      </c>
      <c r="D10">
        <v>55</v>
      </c>
      <c r="E10" s="5">
        <f t="shared" si="0"/>
        <v>990</v>
      </c>
    </row>
    <row r="11" spans="1:5">
      <c r="A11" t="s">
        <v>41</v>
      </c>
      <c r="B11" t="s">
        <v>42</v>
      </c>
      <c r="C11" s="4">
        <v>17.5</v>
      </c>
      <c r="D11">
        <v>33</v>
      </c>
      <c r="E11" s="5">
        <f t="shared" si="0"/>
        <v>577.5</v>
      </c>
    </row>
    <row r="12" spans="1:5">
      <c r="A12" t="s">
        <v>43</v>
      </c>
      <c r="B12" t="s">
        <v>44</v>
      </c>
      <c r="C12" s="4">
        <v>14.7</v>
      </c>
      <c r="D12">
        <v>29</v>
      </c>
      <c r="E12" s="5">
        <f t="shared" si="0"/>
        <v>426.29999999999995</v>
      </c>
    </row>
    <row r="13" spans="1:5">
      <c r="A13" t="s">
        <v>45</v>
      </c>
      <c r="B13" t="s">
        <v>46</v>
      </c>
      <c r="C13" s="4">
        <v>13.9</v>
      </c>
      <c r="D13">
        <v>40</v>
      </c>
      <c r="E13" s="5">
        <f t="shared" si="0"/>
        <v>556</v>
      </c>
    </row>
    <row r="14" spans="1:5">
      <c r="A14" t="s">
        <v>47</v>
      </c>
      <c r="B14" t="s">
        <v>48</v>
      </c>
      <c r="C14" s="4">
        <v>11.2</v>
      </c>
      <c r="D14">
        <v>40</v>
      </c>
      <c r="E14" s="5">
        <f t="shared" si="0"/>
        <v>448</v>
      </c>
    </row>
    <row r="15" spans="1:5">
      <c r="A15" t="s">
        <v>49</v>
      </c>
      <c r="B15" t="s">
        <v>50</v>
      </c>
      <c r="C15" s="4">
        <v>10.1</v>
      </c>
      <c r="D15">
        <v>40</v>
      </c>
      <c r="E15" s="5">
        <f t="shared" si="0"/>
        <v>404</v>
      </c>
    </row>
    <row r="16" spans="1:5">
      <c r="A16" t="s">
        <v>51</v>
      </c>
      <c r="B16" t="s">
        <v>52</v>
      </c>
      <c r="C16" s="4">
        <v>9</v>
      </c>
      <c r="D16">
        <v>42</v>
      </c>
      <c r="E16" s="5">
        <f t="shared" si="0"/>
        <v>378</v>
      </c>
    </row>
    <row r="17" spans="1:5">
      <c r="A17" t="s">
        <v>53</v>
      </c>
      <c r="B17" t="s">
        <v>54</v>
      </c>
      <c r="C17" s="4">
        <v>8.44</v>
      </c>
      <c r="D17">
        <v>40</v>
      </c>
      <c r="E17" s="5">
        <f t="shared" si="0"/>
        <v>337.59999999999997</v>
      </c>
    </row>
    <row r="18" spans="1:5">
      <c r="A18" t="s">
        <v>55</v>
      </c>
      <c r="B18" t="s">
        <v>56</v>
      </c>
      <c r="C18" s="4">
        <v>14.2</v>
      </c>
      <c r="D18">
        <v>40</v>
      </c>
      <c r="E18" s="5">
        <f t="shared" si="0"/>
        <v>568</v>
      </c>
    </row>
    <row r="19" spans="1:5">
      <c r="A19" t="s">
        <v>57</v>
      </c>
      <c r="B19" t="s">
        <v>58</v>
      </c>
      <c r="C19" s="4">
        <v>45</v>
      </c>
      <c r="D19">
        <v>41</v>
      </c>
      <c r="E19" s="5">
        <f t="shared" si="0"/>
        <v>1845</v>
      </c>
    </row>
    <row r="20" spans="1:5">
      <c r="A20" t="s">
        <v>59</v>
      </c>
      <c r="B20" t="s">
        <v>60</v>
      </c>
      <c r="C20" s="4">
        <v>30</v>
      </c>
      <c r="D20">
        <v>39</v>
      </c>
      <c r="E20" s="5">
        <f t="shared" si="0"/>
        <v>1170</v>
      </c>
    </row>
    <row r="22" spans="1:5">
      <c r="A22" t="s">
        <v>61</v>
      </c>
      <c r="C22" s="5">
        <f>MAX(C4:C20)</f>
        <v>45</v>
      </c>
      <c r="D22" s="6">
        <f>MAX(D4:D20)</f>
        <v>55</v>
      </c>
      <c r="E22" s="4">
        <f>MAX(E4:E20)</f>
        <v>1845</v>
      </c>
    </row>
    <row r="23" spans="1:5">
      <c r="A23" t="s">
        <v>62</v>
      </c>
      <c r="C23" s="5">
        <f>MIN(C4:C20)</f>
        <v>6.9</v>
      </c>
      <c r="D23" s="6">
        <f>MIN(D4:D20)</f>
        <v>29</v>
      </c>
      <c r="E23" s="4">
        <f>MIN(E4:E20)</f>
        <v>269.10000000000002</v>
      </c>
    </row>
    <row r="24" spans="1:5">
      <c r="A24" t="s">
        <v>63</v>
      </c>
      <c r="C24" s="5">
        <f>AVERAGE(C4:C20)</f>
        <v>16.484705882352941</v>
      </c>
      <c r="D24" s="6">
        <f>AVERAGE(D4:D20)</f>
        <v>40.823529411764703</v>
      </c>
      <c r="E24" s="4">
        <f>AVERAGE(E4:E20)</f>
        <v>677.42941176470583</v>
      </c>
    </row>
    <row r="25" spans="1:5">
      <c r="A25" t="s">
        <v>64</v>
      </c>
      <c r="D25">
        <f>SUM(D4:D20)</f>
        <v>694</v>
      </c>
      <c r="E25" s="5">
        <f>SUM(E4:E20)</f>
        <v>11516.3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9E67-CB50-4AEC-AAD7-9BFB37003B08}">
  <dimension ref="A1:H25"/>
  <sheetViews>
    <sheetView workbookViewId="0">
      <selection activeCell="J9" sqref="J9"/>
    </sheetView>
  </sheetViews>
  <sheetFormatPr defaultRowHeight="14.5"/>
  <cols>
    <col min="1" max="1" width="13" customWidth="1"/>
    <col min="2" max="2" width="12.81640625" customWidth="1"/>
    <col min="3" max="3" width="13.36328125" customWidth="1"/>
    <col min="4" max="4" width="14.26953125" bestFit="1" customWidth="1"/>
    <col min="5" max="5" width="14.26953125" customWidth="1"/>
    <col min="6" max="6" width="13.36328125" customWidth="1"/>
    <col min="8" max="8" width="12.08984375" customWidth="1"/>
  </cols>
  <sheetData>
    <row r="1" spans="1:8">
      <c r="A1" t="s">
        <v>21</v>
      </c>
      <c r="C1" t="s">
        <v>65</v>
      </c>
      <c r="E1" s="7" t="s">
        <v>67</v>
      </c>
    </row>
    <row r="2" spans="1:8">
      <c r="D2" s="8" t="s">
        <v>25</v>
      </c>
      <c r="E2" t="s">
        <v>66</v>
      </c>
      <c r="F2" s="10" t="s">
        <v>26</v>
      </c>
      <c r="G2" s="12" t="s">
        <v>69</v>
      </c>
      <c r="H2" s="14" t="s">
        <v>68</v>
      </c>
    </row>
    <row r="3" spans="1:8">
      <c r="A3" t="s">
        <v>22</v>
      </c>
      <c r="B3" t="s">
        <v>23</v>
      </c>
      <c r="C3" t="s">
        <v>24</v>
      </c>
      <c r="D3" s="9">
        <v>36892</v>
      </c>
      <c r="E3" s="1"/>
      <c r="F3" s="10"/>
      <c r="G3" s="12"/>
      <c r="H3" s="14"/>
    </row>
    <row r="4" spans="1:8">
      <c r="A4" t="s">
        <v>27</v>
      </c>
      <c r="B4" t="s">
        <v>28</v>
      </c>
      <c r="C4" s="4">
        <v>15.9</v>
      </c>
      <c r="D4" s="8">
        <v>41</v>
      </c>
      <c r="E4">
        <f>IF(D4&gt;40,D4-40,0)</f>
        <v>1</v>
      </c>
      <c r="F4" s="11">
        <f>C4*D4</f>
        <v>651.9</v>
      </c>
      <c r="G4" s="13">
        <f>0.5*C4*E4</f>
        <v>7.95</v>
      </c>
      <c r="H4" s="15">
        <f>F4+G4</f>
        <v>659.85</v>
      </c>
    </row>
    <row r="5" spans="1:8">
      <c r="A5" t="s">
        <v>29</v>
      </c>
      <c r="B5" t="s">
        <v>30</v>
      </c>
      <c r="C5" s="4">
        <v>10</v>
      </c>
      <c r="D5" s="8">
        <v>42</v>
      </c>
      <c r="E5">
        <f t="shared" ref="E5:E20" si="0">IF(D5&gt;40,D5-40,0)</f>
        <v>2</v>
      </c>
      <c r="F5" s="11">
        <f t="shared" ref="F5:F20" si="1">C5*D5</f>
        <v>420</v>
      </c>
      <c r="G5" s="13">
        <f t="shared" ref="G5:G20" si="2">0.5*C5*E5</f>
        <v>10</v>
      </c>
      <c r="H5" s="15">
        <f t="shared" ref="H5:H20" si="3">F5+G5</f>
        <v>430</v>
      </c>
    </row>
    <row r="6" spans="1:8">
      <c r="A6" t="s">
        <v>31</v>
      </c>
      <c r="B6" t="s">
        <v>32</v>
      </c>
      <c r="C6" s="4">
        <v>22.1</v>
      </c>
      <c r="D6" s="8">
        <v>49</v>
      </c>
      <c r="E6">
        <f t="shared" si="0"/>
        <v>9</v>
      </c>
      <c r="F6" s="11">
        <f t="shared" si="1"/>
        <v>1082.9000000000001</v>
      </c>
      <c r="G6" s="13">
        <f t="shared" si="2"/>
        <v>99.45</v>
      </c>
      <c r="H6" s="15">
        <f t="shared" si="3"/>
        <v>1182.3500000000001</v>
      </c>
    </row>
    <row r="7" spans="1:8">
      <c r="A7" t="s">
        <v>33</v>
      </c>
      <c r="B7" t="s">
        <v>34</v>
      </c>
      <c r="C7" s="4">
        <v>19.100000000000001</v>
      </c>
      <c r="D7" s="8">
        <v>41</v>
      </c>
      <c r="E7">
        <f t="shared" si="0"/>
        <v>1</v>
      </c>
      <c r="F7" s="11">
        <f t="shared" si="1"/>
        <v>783.1</v>
      </c>
      <c r="G7" s="13">
        <f t="shared" si="2"/>
        <v>9.5500000000000007</v>
      </c>
      <c r="H7" s="15">
        <f t="shared" si="3"/>
        <v>792.65</v>
      </c>
    </row>
    <row r="8" spans="1:8">
      <c r="A8" t="s">
        <v>35</v>
      </c>
      <c r="B8" t="s">
        <v>36</v>
      </c>
      <c r="C8" s="4">
        <v>6.9</v>
      </c>
      <c r="D8" s="8">
        <v>39</v>
      </c>
      <c r="E8">
        <f t="shared" si="0"/>
        <v>0</v>
      </c>
      <c r="F8" s="11">
        <f t="shared" si="1"/>
        <v>269.10000000000002</v>
      </c>
      <c r="G8" s="13">
        <f t="shared" si="2"/>
        <v>0</v>
      </c>
      <c r="H8" s="15">
        <f t="shared" si="3"/>
        <v>269.10000000000002</v>
      </c>
    </row>
    <row r="9" spans="1:8">
      <c r="A9" t="s">
        <v>37</v>
      </c>
      <c r="B9" t="s">
        <v>38</v>
      </c>
      <c r="C9" s="4">
        <v>14.2</v>
      </c>
      <c r="D9" s="8">
        <v>44</v>
      </c>
      <c r="E9">
        <f t="shared" si="0"/>
        <v>4</v>
      </c>
      <c r="F9" s="11">
        <f t="shared" si="1"/>
        <v>624.79999999999995</v>
      </c>
      <c r="G9" s="13">
        <f t="shared" si="2"/>
        <v>28.4</v>
      </c>
      <c r="H9" s="15">
        <f t="shared" si="3"/>
        <v>653.19999999999993</v>
      </c>
    </row>
    <row r="10" spans="1:8">
      <c r="A10" t="s">
        <v>39</v>
      </c>
      <c r="B10" t="s">
        <v>40</v>
      </c>
      <c r="C10" s="4">
        <v>18</v>
      </c>
      <c r="D10" s="8">
        <v>55</v>
      </c>
      <c r="E10">
        <f t="shared" si="0"/>
        <v>15</v>
      </c>
      <c r="F10" s="11">
        <f t="shared" si="1"/>
        <v>990</v>
      </c>
      <c r="G10" s="13">
        <f t="shared" si="2"/>
        <v>135</v>
      </c>
      <c r="H10" s="15">
        <f t="shared" si="3"/>
        <v>1125</v>
      </c>
    </row>
    <row r="11" spans="1:8">
      <c r="A11" t="s">
        <v>41</v>
      </c>
      <c r="B11" t="s">
        <v>42</v>
      </c>
      <c r="C11" s="4">
        <v>17.5</v>
      </c>
      <c r="D11" s="8">
        <v>33</v>
      </c>
      <c r="E11">
        <f t="shared" si="0"/>
        <v>0</v>
      </c>
      <c r="F11" s="11">
        <f t="shared" si="1"/>
        <v>577.5</v>
      </c>
      <c r="G11" s="13">
        <f t="shared" si="2"/>
        <v>0</v>
      </c>
      <c r="H11" s="15">
        <f t="shared" si="3"/>
        <v>577.5</v>
      </c>
    </row>
    <row r="12" spans="1:8">
      <c r="A12" t="s">
        <v>43</v>
      </c>
      <c r="B12" t="s">
        <v>44</v>
      </c>
      <c r="C12" s="4">
        <v>14.7</v>
      </c>
      <c r="D12" s="8">
        <v>29</v>
      </c>
      <c r="E12">
        <f t="shared" si="0"/>
        <v>0</v>
      </c>
      <c r="F12" s="11">
        <f t="shared" si="1"/>
        <v>426.29999999999995</v>
      </c>
      <c r="G12" s="13">
        <f t="shared" si="2"/>
        <v>0</v>
      </c>
      <c r="H12" s="15">
        <f t="shared" si="3"/>
        <v>426.29999999999995</v>
      </c>
    </row>
    <row r="13" spans="1:8">
      <c r="A13" t="s">
        <v>45</v>
      </c>
      <c r="B13" t="s">
        <v>46</v>
      </c>
      <c r="C13" s="4">
        <v>13.9</v>
      </c>
      <c r="D13" s="8">
        <v>40</v>
      </c>
      <c r="E13">
        <f t="shared" si="0"/>
        <v>0</v>
      </c>
      <c r="F13" s="11">
        <f t="shared" si="1"/>
        <v>556</v>
      </c>
      <c r="G13" s="13">
        <f t="shared" si="2"/>
        <v>0</v>
      </c>
      <c r="H13" s="15">
        <f t="shared" si="3"/>
        <v>556</v>
      </c>
    </row>
    <row r="14" spans="1:8">
      <c r="A14" t="s">
        <v>47</v>
      </c>
      <c r="B14" t="s">
        <v>48</v>
      </c>
      <c r="C14" s="4">
        <v>11.2</v>
      </c>
      <c r="D14" s="8">
        <v>40</v>
      </c>
      <c r="E14">
        <f t="shared" si="0"/>
        <v>0</v>
      </c>
      <c r="F14" s="11">
        <f t="shared" si="1"/>
        <v>448</v>
      </c>
      <c r="G14" s="13">
        <f t="shared" si="2"/>
        <v>0</v>
      </c>
      <c r="H14" s="15">
        <f t="shared" si="3"/>
        <v>448</v>
      </c>
    </row>
    <row r="15" spans="1:8">
      <c r="A15" t="s">
        <v>49</v>
      </c>
      <c r="B15" t="s">
        <v>50</v>
      </c>
      <c r="C15" s="4">
        <v>10.1</v>
      </c>
      <c r="D15" s="8">
        <v>40</v>
      </c>
      <c r="E15">
        <f t="shared" si="0"/>
        <v>0</v>
      </c>
      <c r="F15" s="11">
        <f t="shared" si="1"/>
        <v>404</v>
      </c>
      <c r="G15" s="13">
        <f t="shared" si="2"/>
        <v>0</v>
      </c>
      <c r="H15" s="15">
        <f t="shared" si="3"/>
        <v>404</v>
      </c>
    </row>
    <row r="16" spans="1:8">
      <c r="A16" t="s">
        <v>51</v>
      </c>
      <c r="B16" t="s">
        <v>52</v>
      </c>
      <c r="C16" s="4">
        <v>9</v>
      </c>
      <c r="D16" s="8">
        <v>42</v>
      </c>
      <c r="E16">
        <f t="shared" si="0"/>
        <v>2</v>
      </c>
      <c r="F16" s="11">
        <f t="shared" si="1"/>
        <v>378</v>
      </c>
      <c r="G16" s="13">
        <f t="shared" si="2"/>
        <v>9</v>
      </c>
      <c r="H16" s="15">
        <f t="shared" si="3"/>
        <v>387</v>
      </c>
    </row>
    <row r="17" spans="1:8">
      <c r="A17" t="s">
        <v>53</v>
      </c>
      <c r="B17" t="s">
        <v>54</v>
      </c>
      <c r="C17" s="4">
        <v>8.44</v>
      </c>
      <c r="D17" s="8">
        <v>40</v>
      </c>
      <c r="E17">
        <f t="shared" si="0"/>
        <v>0</v>
      </c>
      <c r="F17" s="11">
        <f t="shared" si="1"/>
        <v>337.59999999999997</v>
      </c>
      <c r="G17" s="13">
        <f t="shared" si="2"/>
        <v>0</v>
      </c>
      <c r="H17" s="15">
        <f t="shared" si="3"/>
        <v>337.59999999999997</v>
      </c>
    </row>
    <row r="18" spans="1:8">
      <c r="A18" t="s">
        <v>55</v>
      </c>
      <c r="B18" t="s">
        <v>56</v>
      </c>
      <c r="C18" s="4">
        <v>14.2</v>
      </c>
      <c r="D18" s="8">
        <v>40</v>
      </c>
      <c r="E18">
        <f t="shared" si="0"/>
        <v>0</v>
      </c>
      <c r="F18" s="11">
        <f t="shared" si="1"/>
        <v>568</v>
      </c>
      <c r="G18" s="13">
        <f t="shared" si="2"/>
        <v>0</v>
      </c>
      <c r="H18" s="15">
        <f t="shared" si="3"/>
        <v>568</v>
      </c>
    </row>
    <row r="19" spans="1:8">
      <c r="A19" t="s">
        <v>57</v>
      </c>
      <c r="B19" t="s">
        <v>58</v>
      </c>
      <c r="C19" s="4">
        <v>45</v>
      </c>
      <c r="D19" s="8">
        <v>41</v>
      </c>
      <c r="E19">
        <f t="shared" si="0"/>
        <v>1</v>
      </c>
      <c r="F19" s="11">
        <f t="shared" si="1"/>
        <v>1845</v>
      </c>
      <c r="G19" s="13">
        <f t="shared" si="2"/>
        <v>22.5</v>
      </c>
      <c r="H19" s="15">
        <f t="shared" si="3"/>
        <v>1867.5</v>
      </c>
    </row>
    <row r="20" spans="1:8">
      <c r="A20" t="s">
        <v>59</v>
      </c>
      <c r="B20" t="s">
        <v>60</v>
      </c>
      <c r="C20" s="4">
        <v>30</v>
      </c>
      <c r="D20" s="8">
        <v>39</v>
      </c>
      <c r="E20">
        <f t="shared" si="0"/>
        <v>0</v>
      </c>
      <c r="F20" s="11">
        <f t="shared" si="1"/>
        <v>1170</v>
      </c>
      <c r="G20" s="13">
        <f t="shared" si="2"/>
        <v>0</v>
      </c>
      <c r="H20" s="15">
        <f t="shared" si="3"/>
        <v>1170</v>
      </c>
    </row>
    <row r="22" spans="1:8">
      <c r="A22" t="s">
        <v>61</v>
      </c>
      <c r="C22" s="5">
        <f>MAX(C4:C20)</f>
        <v>45</v>
      </c>
      <c r="D22" s="6">
        <f>MAX(D4:D20)</f>
        <v>55</v>
      </c>
      <c r="E22" s="6"/>
      <c r="F22" s="4">
        <f>MAX(F4:F20)</f>
        <v>1845</v>
      </c>
    </row>
    <row r="23" spans="1:8">
      <c r="A23" t="s">
        <v>62</v>
      </c>
      <c r="C23" s="5">
        <f>MIN(C4:C20)</f>
        <v>6.9</v>
      </c>
      <c r="D23" s="6">
        <f>MIN(D4:D20)</f>
        <v>29</v>
      </c>
      <c r="E23" s="6"/>
      <c r="F23" s="4">
        <f>MIN(F4:F20)</f>
        <v>269.10000000000002</v>
      </c>
    </row>
    <row r="24" spans="1:8">
      <c r="A24" t="s">
        <v>63</v>
      </c>
      <c r="C24" s="5">
        <f>AVERAGE(C4:C20)</f>
        <v>16.484705882352941</v>
      </c>
      <c r="D24" s="6">
        <f>AVERAGE(D4:D20)</f>
        <v>40.882352941176471</v>
      </c>
      <c r="E24" s="6"/>
      <c r="F24" s="4">
        <f>AVERAGE(F4:F20)</f>
        <v>678.36470588235295</v>
      </c>
    </row>
    <row r="25" spans="1:8">
      <c r="A25" t="s">
        <v>64</v>
      </c>
      <c r="D25">
        <f>SUM(D4:D20)</f>
        <v>695</v>
      </c>
      <c r="F25" s="5">
        <f>SUM(F4:F20)</f>
        <v>11532.2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3453-725A-4031-9C96-0E547747501D}">
  <dimension ref="A1:AD25"/>
  <sheetViews>
    <sheetView topLeftCell="J1" zoomScale="56" zoomScaleNormal="56" workbookViewId="0">
      <selection activeCell="AD25" sqref="AD25"/>
    </sheetView>
  </sheetViews>
  <sheetFormatPr defaultRowHeight="14.5"/>
  <cols>
    <col min="1" max="1" width="13" customWidth="1"/>
    <col min="2" max="2" width="12.81640625" customWidth="1"/>
    <col min="3" max="3" width="13.36328125" customWidth="1"/>
    <col min="4" max="4" width="16.54296875" bestFit="1" customWidth="1"/>
    <col min="5" max="8" width="14.26953125" customWidth="1"/>
    <col min="9" max="13" width="13.36328125" customWidth="1"/>
    <col min="14" max="18" width="14.26953125" customWidth="1"/>
    <col min="19" max="22" width="10.6328125" customWidth="1"/>
    <col min="23" max="23" width="10" customWidth="1"/>
    <col min="24" max="24" width="12.08984375" customWidth="1"/>
    <col min="25" max="28" width="11.36328125" customWidth="1"/>
    <col min="30" max="30" width="11.1796875" customWidth="1"/>
  </cols>
  <sheetData>
    <row r="1" spans="1:30">
      <c r="A1" t="s">
        <v>21</v>
      </c>
      <c r="C1" t="s">
        <v>65</v>
      </c>
      <c r="N1" s="16"/>
      <c r="O1" s="16"/>
      <c r="P1" s="16"/>
      <c r="Q1" s="16"/>
      <c r="R1" s="16"/>
    </row>
    <row r="2" spans="1:30">
      <c r="D2" s="8" t="s">
        <v>25</v>
      </c>
      <c r="E2" s="8"/>
      <c r="F2" s="8"/>
      <c r="G2" s="8"/>
      <c r="H2" s="8"/>
      <c r="I2" s="10" t="s">
        <v>26</v>
      </c>
      <c r="J2" s="10"/>
      <c r="K2" s="10"/>
      <c r="L2" s="10"/>
      <c r="M2" s="10"/>
      <c r="N2" s="19" t="s">
        <v>66</v>
      </c>
      <c r="O2" s="19"/>
      <c r="P2" s="19"/>
      <c r="Q2" s="19"/>
      <c r="R2" s="19"/>
      <c r="S2" s="12" t="s">
        <v>69</v>
      </c>
      <c r="T2" s="12"/>
      <c r="U2" s="12"/>
      <c r="V2" s="12"/>
      <c r="W2" s="12"/>
      <c r="X2" s="22" t="s">
        <v>68</v>
      </c>
      <c r="Y2" s="22"/>
      <c r="Z2" s="22"/>
      <c r="AA2" s="22"/>
      <c r="AB2" s="22"/>
      <c r="AD2" s="7" t="s">
        <v>70</v>
      </c>
    </row>
    <row r="3" spans="1:30">
      <c r="A3" t="s">
        <v>22</v>
      </c>
      <c r="B3" t="s">
        <v>23</v>
      </c>
      <c r="C3" t="s">
        <v>24</v>
      </c>
      <c r="D3" s="17">
        <v>45231</v>
      </c>
      <c r="E3" s="17">
        <f>D3+7</f>
        <v>45238</v>
      </c>
      <c r="F3" s="17">
        <f t="shared" ref="F3:H3" si="0">E3+7</f>
        <v>45245</v>
      </c>
      <c r="G3" s="17">
        <f t="shared" si="0"/>
        <v>45252</v>
      </c>
      <c r="H3" s="17">
        <f t="shared" si="0"/>
        <v>45259</v>
      </c>
      <c r="I3" s="18">
        <v>45231</v>
      </c>
      <c r="J3" s="18">
        <v>45238</v>
      </c>
      <c r="K3" s="18">
        <v>45245</v>
      </c>
      <c r="L3" s="18">
        <v>45252</v>
      </c>
      <c r="M3" s="18">
        <v>45259</v>
      </c>
      <c r="N3" s="20">
        <v>45231</v>
      </c>
      <c r="O3" s="20">
        <v>45238</v>
      </c>
      <c r="P3" s="20">
        <v>45245</v>
      </c>
      <c r="Q3" s="20">
        <v>45252</v>
      </c>
      <c r="R3" s="20">
        <v>45259</v>
      </c>
      <c r="S3" s="21">
        <v>45231</v>
      </c>
      <c r="T3" s="21">
        <v>45238</v>
      </c>
      <c r="U3" s="21">
        <v>45245</v>
      </c>
      <c r="V3" s="21">
        <v>45252</v>
      </c>
      <c r="W3" s="21">
        <v>45259</v>
      </c>
      <c r="X3" s="23">
        <v>45231</v>
      </c>
      <c r="Y3" s="23">
        <v>45238</v>
      </c>
      <c r="Z3" s="23">
        <v>45245</v>
      </c>
      <c r="AA3" s="23">
        <v>45252</v>
      </c>
      <c r="AB3" s="23">
        <v>45259</v>
      </c>
      <c r="AD3" s="7"/>
    </row>
    <row r="4" spans="1:30">
      <c r="A4" t="s">
        <v>27</v>
      </c>
      <c r="B4" t="s">
        <v>28</v>
      </c>
      <c r="C4" s="4">
        <v>15.9</v>
      </c>
      <c r="D4" s="8">
        <v>41</v>
      </c>
      <c r="E4" s="8">
        <v>42</v>
      </c>
      <c r="F4" s="8">
        <v>39</v>
      </c>
      <c r="G4" s="8">
        <v>30</v>
      </c>
      <c r="H4" s="8">
        <v>46</v>
      </c>
      <c r="I4" s="11">
        <f>$C4*D4</f>
        <v>651.9</v>
      </c>
      <c r="J4" s="11">
        <f>$C4*E4</f>
        <v>667.80000000000007</v>
      </c>
      <c r="K4" s="11">
        <f>$C4*F4</f>
        <v>620.1</v>
      </c>
      <c r="L4" s="11">
        <f>$C4*G4</f>
        <v>477</v>
      </c>
      <c r="M4" s="11">
        <f>$C4*H4</f>
        <v>731.4</v>
      </c>
      <c r="N4" s="19">
        <f>IF(D4&gt;40,D4-40,0)</f>
        <v>1</v>
      </c>
      <c r="O4" s="19">
        <f>IF(E4&gt;40,E4-40,0)</f>
        <v>2</v>
      </c>
      <c r="P4" s="19">
        <f>IF(F4&gt;40,F4-40,0)</f>
        <v>0</v>
      </c>
      <c r="Q4" s="19">
        <f>IF(G4&gt;40,G4-40,0)</f>
        <v>0</v>
      </c>
      <c r="R4" s="19">
        <f>IF(H4&gt;40,H4-40,0)</f>
        <v>6</v>
      </c>
      <c r="S4" s="13">
        <f>0.5*$C4*N4</f>
        <v>7.95</v>
      </c>
      <c r="T4" s="13">
        <f t="shared" ref="T4:W19" si="1">0.5*$C4*O4</f>
        <v>15.9</v>
      </c>
      <c r="U4" s="13">
        <f>0.5*$C4*P4</f>
        <v>0</v>
      </c>
      <c r="V4" s="13">
        <f t="shared" si="1"/>
        <v>0</v>
      </c>
      <c r="W4" s="13">
        <f t="shared" si="1"/>
        <v>47.7</v>
      </c>
      <c r="X4" s="24">
        <f>I4+S4</f>
        <v>659.85</v>
      </c>
      <c r="Y4" s="24">
        <f>J4+T4</f>
        <v>683.7</v>
      </c>
      <c r="Z4" s="24">
        <f>K4+U4</f>
        <v>620.1</v>
      </c>
      <c r="AA4" s="24">
        <f>L4+V4</f>
        <v>477</v>
      </c>
      <c r="AB4" s="24">
        <f>M4+W4</f>
        <v>779.1</v>
      </c>
      <c r="AD4" s="25">
        <f>SUM(X4:AB4)</f>
        <v>3219.75</v>
      </c>
    </row>
    <row r="5" spans="1:30">
      <c r="A5" t="s">
        <v>29</v>
      </c>
      <c r="B5" t="s">
        <v>30</v>
      </c>
      <c r="C5" s="4">
        <v>10</v>
      </c>
      <c r="D5" s="8">
        <v>42</v>
      </c>
      <c r="E5" s="8">
        <v>41</v>
      </c>
      <c r="F5" s="8">
        <v>40</v>
      </c>
      <c r="G5" s="8">
        <v>38</v>
      </c>
      <c r="H5" s="8">
        <v>44</v>
      </c>
      <c r="I5" s="11">
        <f t="shared" ref="I5:I20" si="2">$C5*D5</f>
        <v>420</v>
      </c>
      <c r="J5" s="11">
        <f t="shared" ref="J4:M19" si="3">$C5*E5</f>
        <v>410</v>
      </c>
      <c r="K5" s="11">
        <f t="shared" si="3"/>
        <v>400</v>
      </c>
      <c r="L5" s="11">
        <f t="shared" si="3"/>
        <v>380</v>
      </c>
      <c r="M5" s="11">
        <f t="shared" si="3"/>
        <v>440</v>
      </c>
      <c r="N5" s="19">
        <f>IF(D5&gt;40,D5-40,0)</f>
        <v>2</v>
      </c>
      <c r="O5" s="19">
        <f>IF(E5&gt;40,E5-40,0)</f>
        <v>1</v>
      </c>
      <c r="P5" s="19">
        <f>IF(F5&gt;40,F5-40,0)</f>
        <v>0</v>
      </c>
      <c r="Q5" s="19">
        <f>IF(G5&gt;40,G5-40,0)</f>
        <v>0</v>
      </c>
      <c r="R5" s="19">
        <f>IF(H5&gt;40,H5-40,0)</f>
        <v>4</v>
      </c>
      <c r="S5" s="13">
        <f t="shared" ref="S5:S20" si="4">0.5*$C5*N5</f>
        <v>10</v>
      </c>
      <c r="T5" s="13">
        <f t="shared" si="1"/>
        <v>5</v>
      </c>
      <c r="U5" s="13">
        <f t="shared" si="1"/>
        <v>0</v>
      </c>
      <c r="V5" s="13">
        <f t="shared" si="1"/>
        <v>0</v>
      </c>
      <c r="W5" s="13">
        <f t="shared" si="1"/>
        <v>20</v>
      </c>
      <c r="X5" s="24">
        <f>I5+S5</f>
        <v>430</v>
      </c>
      <c r="Y5" s="24">
        <f>J5+T5</f>
        <v>415</v>
      </c>
      <c r="Z5" s="24">
        <f>K5+U5</f>
        <v>400</v>
      </c>
      <c r="AA5" s="24">
        <f>L5+V5</f>
        <v>380</v>
      </c>
      <c r="AB5" s="24">
        <f>M5+W5</f>
        <v>460</v>
      </c>
      <c r="AD5" s="25">
        <f t="shared" ref="AD5:AD20" si="5">SUM(X5:AB5)</f>
        <v>2085</v>
      </c>
    </row>
    <row r="6" spans="1:30">
      <c r="A6" t="s">
        <v>31</v>
      </c>
      <c r="B6" t="s">
        <v>32</v>
      </c>
      <c r="C6" s="4">
        <v>22.1</v>
      </c>
      <c r="D6" s="8">
        <v>49</v>
      </c>
      <c r="E6" s="8">
        <v>40</v>
      </c>
      <c r="F6" s="8">
        <v>33</v>
      </c>
      <c r="G6" s="8">
        <v>20</v>
      </c>
      <c r="H6" s="8">
        <v>34</v>
      </c>
      <c r="I6" s="11">
        <f t="shared" si="2"/>
        <v>1082.9000000000001</v>
      </c>
      <c r="J6" s="11">
        <f t="shared" si="3"/>
        <v>884</v>
      </c>
      <c r="K6" s="11">
        <f t="shared" si="3"/>
        <v>729.30000000000007</v>
      </c>
      <c r="L6" s="11">
        <f t="shared" si="3"/>
        <v>442</v>
      </c>
      <c r="M6" s="11">
        <f t="shared" si="3"/>
        <v>751.40000000000009</v>
      </c>
      <c r="N6" s="19">
        <f>IF(D6&gt;40,D6-40,0)</f>
        <v>9</v>
      </c>
      <c r="O6" s="19">
        <f>IF(E6&gt;40,E6-40,0)</f>
        <v>0</v>
      </c>
      <c r="P6" s="19">
        <f>IF(F6&gt;40,F6-40,0)</f>
        <v>0</v>
      </c>
      <c r="Q6" s="19">
        <f>IF(G6&gt;40,G6-40,0)</f>
        <v>0</v>
      </c>
      <c r="R6" s="19">
        <f>IF(H6&gt;40,H6-40,0)</f>
        <v>0</v>
      </c>
      <c r="S6" s="13">
        <f t="shared" si="4"/>
        <v>99.45</v>
      </c>
      <c r="T6" s="13">
        <f t="shared" si="1"/>
        <v>0</v>
      </c>
      <c r="U6" s="13">
        <f t="shared" si="1"/>
        <v>0</v>
      </c>
      <c r="V6" s="13">
        <f t="shared" si="1"/>
        <v>0</v>
      </c>
      <c r="W6" s="13">
        <f t="shared" si="1"/>
        <v>0</v>
      </c>
      <c r="X6" s="24">
        <f>I6+S6</f>
        <v>1182.3500000000001</v>
      </c>
      <c r="Y6" s="24">
        <f>J6+T6</f>
        <v>884</v>
      </c>
      <c r="Z6" s="24">
        <f>K6+U6</f>
        <v>729.30000000000007</v>
      </c>
      <c r="AA6" s="24">
        <f>L6+V6</f>
        <v>442</v>
      </c>
      <c r="AB6" s="24">
        <f>M6+W6</f>
        <v>751.40000000000009</v>
      </c>
      <c r="AD6" s="25">
        <f t="shared" si="5"/>
        <v>3989.0500000000006</v>
      </c>
    </row>
    <row r="7" spans="1:30">
      <c r="A7" t="s">
        <v>33</v>
      </c>
      <c r="B7" t="s">
        <v>34</v>
      </c>
      <c r="C7" s="4">
        <v>19.100000000000001</v>
      </c>
      <c r="D7" s="8">
        <v>41</v>
      </c>
      <c r="E7" s="8">
        <v>42</v>
      </c>
      <c r="F7" s="8">
        <v>36</v>
      </c>
      <c r="G7" s="8">
        <v>34</v>
      </c>
      <c r="H7" s="8">
        <v>40</v>
      </c>
      <c r="I7" s="11">
        <f t="shared" si="2"/>
        <v>783.1</v>
      </c>
      <c r="J7" s="11">
        <f t="shared" si="3"/>
        <v>802.2</v>
      </c>
      <c r="K7" s="11">
        <f t="shared" si="3"/>
        <v>687.6</v>
      </c>
      <c r="L7" s="11">
        <f t="shared" si="3"/>
        <v>649.40000000000009</v>
      </c>
      <c r="M7" s="11">
        <f t="shared" si="3"/>
        <v>764</v>
      </c>
      <c r="N7" s="19">
        <f>IF(D7&gt;40,D7-40,0)</f>
        <v>1</v>
      </c>
      <c r="O7" s="19">
        <f>IF(E7&gt;40,E7-40,0)</f>
        <v>2</v>
      </c>
      <c r="P7" s="19">
        <f>IF(F7&gt;40,F7-40,0)</f>
        <v>0</v>
      </c>
      <c r="Q7" s="19">
        <f>IF(G7&gt;40,G7-40,0)</f>
        <v>0</v>
      </c>
      <c r="R7" s="19">
        <f>IF(H7&gt;40,H7-40,0)</f>
        <v>0</v>
      </c>
      <c r="S7" s="13">
        <f t="shared" si="4"/>
        <v>9.5500000000000007</v>
      </c>
      <c r="T7" s="13">
        <f t="shared" si="1"/>
        <v>19.100000000000001</v>
      </c>
      <c r="U7" s="13">
        <f t="shared" si="1"/>
        <v>0</v>
      </c>
      <c r="V7" s="13">
        <f t="shared" si="1"/>
        <v>0</v>
      </c>
      <c r="W7" s="13">
        <f t="shared" si="1"/>
        <v>0</v>
      </c>
      <c r="X7" s="24">
        <f>I7+S7</f>
        <v>792.65</v>
      </c>
      <c r="Y7" s="24">
        <f>J7+T7</f>
        <v>821.30000000000007</v>
      </c>
      <c r="Z7" s="24">
        <f>K7+U7</f>
        <v>687.6</v>
      </c>
      <c r="AA7" s="24">
        <f>L7+V7</f>
        <v>649.40000000000009</v>
      </c>
      <c r="AB7" s="24">
        <f>M7+W7</f>
        <v>764</v>
      </c>
      <c r="AD7" s="25">
        <f t="shared" si="5"/>
        <v>3714.9500000000003</v>
      </c>
    </row>
    <row r="8" spans="1:30">
      <c r="A8" t="s">
        <v>35</v>
      </c>
      <c r="B8" t="s">
        <v>36</v>
      </c>
      <c r="C8" s="4">
        <v>6.9</v>
      </c>
      <c r="D8" s="8">
        <v>39</v>
      </c>
      <c r="E8" s="8">
        <v>32</v>
      </c>
      <c r="F8" s="8">
        <v>41</v>
      </c>
      <c r="G8" s="8">
        <v>45</v>
      </c>
      <c r="H8" s="8">
        <v>42</v>
      </c>
      <c r="I8" s="11">
        <f t="shared" si="2"/>
        <v>269.10000000000002</v>
      </c>
      <c r="J8" s="11">
        <f t="shared" si="3"/>
        <v>220.8</v>
      </c>
      <c r="K8" s="11">
        <f t="shared" si="3"/>
        <v>282.90000000000003</v>
      </c>
      <c r="L8" s="11">
        <f t="shared" si="3"/>
        <v>310.5</v>
      </c>
      <c r="M8" s="11">
        <f t="shared" si="3"/>
        <v>289.8</v>
      </c>
      <c r="N8" s="19">
        <f>IF(D8&gt;40,D8-40,0)</f>
        <v>0</v>
      </c>
      <c r="O8" s="19">
        <f>IF(E8&gt;40,E8-40,0)</f>
        <v>0</v>
      </c>
      <c r="P8" s="19">
        <f>IF(F8&gt;40,F8-40,0)</f>
        <v>1</v>
      </c>
      <c r="Q8" s="19">
        <f>IF(G8&gt;40,G8-40,0)</f>
        <v>5</v>
      </c>
      <c r="R8" s="19">
        <f>IF(H8&gt;40,H8-40,0)</f>
        <v>2</v>
      </c>
      <c r="S8" s="13">
        <f t="shared" si="4"/>
        <v>0</v>
      </c>
      <c r="T8" s="13">
        <f t="shared" si="1"/>
        <v>0</v>
      </c>
      <c r="U8" s="13">
        <f t="shared" si="1"/>
        <v>3.45</v>
      </c>
      <c r="V8" s="13">
        <f t="shared" si="1"/>
        <v>17.25</v>
      </c>
      <c r="W8" s="13">
        <f t="shared" si="1"/>
        <v>6.9</v>
      </c>
      <c r="X8" s="24">
        <f>I8+S8</f>
        <v>269.10000000000002</v>
      </c>
      <c r="Y8" s="24">
        <f>J8+T8</f>
        <v>220.8</v>
      </c>
      <c r="Z8" s="24">
        <f>K8+U8</f>
        <v>286.35000000000002</v>
      </c>
      <c r="AA8" s="24">
        <f>L8+V8</f>
        <v>327.75</v>
      </c>
      <c r="AB8" s="24">
        <f>M8+W8</f>
        <v>296.7</v>
      </c>
      <c r="AD8" s="25">
        <f t="shared" si="5"/>
        <v>1400.7</v>
      </c>
    </row>
    <row r="9" spans="1:30">
      <c r="A9" t="s">
        <v>37</v>
      </c>
      <c r="B9" t="s">
        <v>38</v>
      </c>
      <c r="C9" s="4">
        <v>14.2</v>
      </c>
      <c r="D9" s="8">
        <v>44</v>
      </c>
      <c r="E9" s="8">
        <v>44</v>
      </c>
      <c r="F9" s="8">
        <v>40</v>
      </c>
      <c r="G9" s="8">
        <v>41</v>
      </c>
      <c r="H9" s="8">
        <v>38</v>
      </c>
      <c r="I9" s="11">
        <f t="shared" si="2"/>
        <v>624.79999999999995</v>
      </c>
      <c r="J9" s="11">
        <f t="shared" si="3"/>
        <v>624.79999999999995</v>
      </c>
      <c r="K9" s="11">
        <f t="shared" si="3"/>
        <v>568</v>
      </c>
      <c r="L9" s="11">
        <f t="shared" si="3"/>
        <v>582.19999999999993</v>
      </c>
      <c r="M9" s="11">
        <f t="shared" si="3"/>
        <v>539.6</v>
      </c>
      <c r="N9" s="19">
        <f>IF(D9&gt;40,D9-40,0)</f>
        <v>4</v>
      </c>
      <c r="O9" s="19">
        <f>IF(E9&gt;40,E9-40,0)</f>
        <v>4</v>
      </c>
      <c r="P9" s="19">
        <f>IF(F9&gt;40,F9-40,0)</f>
        <v>0</v>
      </c>
      <c r="Q9" s="19">
        <f>IF(G9&gt;40,G9-40,0)</f>
        <v>1</v>
      </c>
      <c r="R9" s="19">
        <f>IF(H9&gt;40,H9-40,0)</f>
        <v>0</v>
      </c>
      <c r="S9" s="13">
        <f t="shared" si="4"/>
        <v>28.4</v>
      </c>
      <c r="T9" s="13">
        <f t="shared" si="1"/>
        <v>28.4</v>
      </c>
      <c r="U9" s="13">
        <f t="shared" si="1"/>
        <v>0</v>
      </c>
      <c r="V9" s="13">
        <f t="shared" si="1"/>
        <v>7.1</v>
      </c>
      <c r="W9" s="13">
        <f t="shared" si="1"/>
        <v>0</v>
      </c>
      <c r="X9" s="24">
        <f>I9+S9</f>
        <v>653.19999999999993</v>
      </c>
      <c r="Y9" s="24">
        <f>J9+T9</f>
        <v>653.19999999999993</v>
      </c>
      <c r="Z9" s="24">
        <f>K9+U9</f>
        <v>568</v>
      </c>
      <c r="AA9" s="24">
        <f>L9+V9</f>
        <v>589.29999999999995</v>
      </c>
      <c r="AB9" s="24">
        <f>M9+W9</f>
        <v>539.6</v>
      </c>
      <c r="AD9" s="25">
        <f t="shared" si="5"/>
        <v>3003.2999999999997</v>
      </c>
    </row>
    <row r="10" spans="1:30">
      <c r="A10" t="s">
        <v>39</v>
      </c>
      <c r="B10" t="s">
        <v>40</v>
      </c>
      <c r="C10" s="4">
        <v>18</v>
      </c>
      <c r="D10" s="8">
        <v>55</v>
      </c>
      <c r="E10" s="8">
        <v>31</v>
      </c>
      <c r="F10" s="8">
        <v>25</v>
      </c>
      <c r="G10" s="8">
        <v>32</v>
      </c>
      <c r="H10" s="8">
        <v>30</v>
      </c>
      <c r="I10" s="11">
        <f t="shared" si="2"/>
        <v>990</v>
      </c>
      <c r="J10" s="11">
        <f t="shared" si="3"/>
        <v>558</v>
      </c>
      <c r="K10" s="11">
        <f t="shared" si="3"/>
        <v>450</v>
      </c>
      <c r="L10" s="11">
        <f t="shared" si="3"/>
        <v>576</v>
      </c>
      <c r="M10" s="11">
        <f t="shared" si="3"/>
        <v>540</v>
      </c>
      <c r="N10" s="19">
        <f>IF(D10&gt;40,D10-40,0)</f>
        <v>15</v>
      </c>
      <c r="O10" s="19">
        <f>IF(E10&gt;40,E10-40,0)</f>
        <v>0</v>
      </c>
      <c r="P10" s="19">
        <f>IF(F10&gt;40,F10-40,0)</f>
        <v>0</v>
      </c>
      <c r="Q10" s="19">
        <f>IF(G10&gt;40,G10-40,0)</f>
        <v>0</v>
      </c>
      <c r="R10" s="19">
        <f>IF(H10&gt;40,H10-40,0)</f>
        <v>0</v>
      </c>
      <c r="S10" s="13">
        <f t="shared" si="4"/>
        <v>135</v>
      </c>
      <c r="T10" s="13">
        <f t="shared" si="1"/>
        <v>0</v>
      </c>
      <c r="U10" s="13">
        <f t="shared" si="1"/>
        <v>0</v>
      </c>
      <c r="V10" s="13">
        <f t="shared" si="1"/>
        <v>0</v>
      </c>
      <c r="W10" s="13">
        <f t="shared" si="1"/>
        <v>0</v>
      </c>
      <c r="X10" s="24">
        <f>I10+S10</f>
        <v>1125</v>
      </c>
      <c r="Y10" s="24">
        <f>J10+T10</f>
        <v>558</v>
      </c>
      <c r="Z10" s="24">
        <f>K10+U10</f>
        <v>450</v>
      </c>
      <c r="AA10" s="24">
        <f>L10+V10</f>
        <v>576</v>
      </c>
      <c r="AB10" s="24">
        <f>M10+W10</f>
        <v>540</v>
      </c>
      <c r="AD10" s="25">
        <f t="shared" si="5"/>
        <v>3249</v>
      </c>
    </row>
    <row r="11" spans="1:30">
      <c r="A11" t="s">
        <v>41</v>
      </c>
      <c r="B11" t="s">
        <v>42</v>
      </c>
      <c r="C11" s="4">
        <v>17.5</v>
      </c>
      <c r="D11" s="8">
        <v>33</v>
      </c>
      <c r="E11" s="8">
        <v>40</v>
      </c>
      <c r="F11" s="8">
        <v>40</v>
      </c>
      <c r="G11" s="8">
        <v>42</v>
      </c>
      <c r="H11" s="8">
        <v>41</v>
      </c>
      <c r="I11" s="11">
        <f t="shared" si="2"/>
        <v>577.5</v>
      </c>
      <c r="J11" s="11">
        <f t="shared" si="3"/>
        <v>700</v>
      </c>
      <c r="K11" s="11">
        <f t="shared" si="3"/>
        <v>700</v>
      </c>
      <c r="L11" s="11">
        <f t="shared" si="3"/>
        <v>735</v>
      </c>
      <c r="M11" s="11">
        <f t="shared" si="3"/>
        <v>717.5</v>
      </c>
      <c r="N11" s="19">
        <f>IF(D11&gt;40,D11-40,0)</f>
        <v>0</v>
      </c>
      <c r="O11" s="19">
        <f>IF(E11&gt;40,E11-40,0)</f>
        <v>0</v>
      </c>
      <c r="P11" s="19">
        <f>IF(F11&gt;40,F11-40,0)</f>
        <v>0</v>
      </c>
      <c r="Q11" s="19">
        <f>IF(G11&gt;40,G11-40,0)</f>
        <v>2</v>
      </c>
      <c r="R11" s="19">
        <f>IF(H11&gt;40,H11-40,0)</f>
        <v>1</v>
      </c>
      <c r="S11" s="13">
        <f t="shared" si="4"/>
        <v>0</v>
      </c>
      <c r="T11" s="13">
        <f t="shared" si="1"/>
        <v>0</v>
      </c>
      <c r="U11" s="13">
        <f t="shared" si="1"/>
        <v>0</v>
      </c>
      <c r="V11" s="13">
        <f t="shared" si="1"/>
        <v>17.5</v>
      </c>
      <c r="W11" s="13">
        <f t="shared" si="1"/>
        <v>8.75</v>
      </c>
      <c r="X11" s="24">
        <f>I11+S11</f>
        <v>577.5</v>
      </c>
      <c r="Y11" s="24">
        <f>J11+T11</f>
        <v>700</v>
      </c>
      <c r="Z11" s="24">
        <f>K11+U11</f>
        <v>700</v>
      </c>
      <c r="AA11" s="24">
        <f>L11+V11</f>
        <v>752.5</v>
      </c>
      <c r="AB11" s="24">
        <f>M11+W11</f>
        <v>726.25</v>
      </c>
      <c r="AD11" s="25">
        <f t="shared" si="5"/>
        <v>3456.25</v>
      </c>
    </row>
    <row r="12" spans="1:30">
      <c r="A12" t="s">
        <v>43</v>
      </c>
      <c r="B12" t="s">
        <v>44</v>
      </c>
      <c r="C12" s="4">
        <v>14.7</v>
      </c>
      <c r="D12" s="8">
        <v>29</v>
      </c>
      <c r="E12" s="8">
        <v>40</v>
      </c>
      <c r="F12" s="8">
        <v>40</v>
      </c>
      <c r="G12" s="8">
        <v>42</v>
      </c>
      <c r="H12" s="8">
        <v>39</v>
      </c>
      <c r="I12" s="11">
        <f t="shared" si="2"/>
        <v>426.29999999999995</v>
      </c>
      <c r="J12" s="11">
        <f t="shared" si="3"/>
        <v>588</v>
      </c>
      <c r="K12" s="11">
        <f t="shared" si="3"/>
        <v>588</v>
      </c>
      <c r="L12" s="11">
        <f t="shared" si="3"/>
        <v>617.4</v>
      </c>
      <c r="M12" s="11">
        <f t="shared" si="3"/>
        <v>573.29999999999995</v>
      </c>
      <c r="N12" s="19">
        <f>IF(D12&gt;40,D12-40,0)</f>
        <v>0</v>
      </c>
      <c r="O12" s="19">
        <f>IF(E12&gt;40,E12-40,0)</f>
        <v>0</v>
      </c>
      <c r="P12" s="19">
        <f>IF(F12&gt;40,F12-40,0)</f>
        <v>0</v>
      </c>
      <c r="Q12" s="19">
        <f>IF(G12&gt;40,G12-40,0)</f>
        <v>2</v>
      </c>
      <c r="R12" s="19">
        <f>IF(H12&gt;40,H12-40,0)</f>
        <v>0</v>
      </c>
      <c r="S12" s="13">
        <f t="shared" si="4"/>
        <v>0</v>
      </c>
      <c r="T12" s="13">
        <f t="shared" si="1"/>
        <v>0</v>
      </c>
      <c r="U12" s="13">
        <f t="shared" si="1"/>
        <v>0</v>
      </c>
      <c r="V12" s="13">
        <f t="shared" si="1"/>
        <v>14.7</v>
      </c>
      <c r="W12" s="13">
        <f t="shared" si="1"/>
        <v>0</v>
      </c>
      <c r="X12" s="24">
        <f>I12+S12</f>
        <v>426.29999999999995</v>
      </c>
      <c r="Y12" s="24">
        <f>J12+T12</f>
        <v>588</v>
      </c>
      <c r="Z12" s="24">
        <f>K12+U12</f>
        <v>588</v>
      </c>
      <c r="AA12" s="24">
        <f>L12+V12</f>
        <v>632.1</v>
      </c>
      <c r="AB12" s="24">
        <f>M12+W12</f>
        <v>573.29999999999995</v>
      </c>
      <c r="AD12" s="25">
        <f t="shared" si="5"/>
        <v>2807.7</v>
      </c>
    </row>
    <row r="13" spans="1:30">
      <c r="A13" t="s">
        <v>45</v>
      </c>
      <c r="B13" t="s">
        <v>46</v>
      </c>
      <c r="C13" s="4">
        <v>13.9</v>
      </c>
      <c r="D13" s="8">
        <v>40</v>
      </c>
      <c r="E13" s="8">
        <v>40</v>
      </c>
      <c r="F13" s="8">
        <v>40</v>
      </c>
      <c r="G13" s="8">
        <v>42</v>
      </c>
      <c r="H13" s="8">
        <v>37</v>
      </c>
      <c r="I13" s="11">
        <f t="shared" si="2"/>
        <v>556</v>
      </c>
      <c r="J13" s="11">
        <f t="shared" si="3"/>
        <v>556</v>
      </c>
      <c r="K13" s="11">
        <f t="shared" si="3"/>
        <v>556</v>
      </c>
      <c r="L13" s="11">
        <f t="shared" si="3"/>
        <v>583.80000000000007</v>
      </c>
      <c r="M13" s="11">
        <f t="shared" si="3"/>
        <v>514.30000000000007</v>
      </c>
      <c r="N13" s="19">
        <f>IF(D13&gt;40,D13-40,0)</f>
        <v>0</v>
      </c>
      <c r="O13" s="19">
        <f>IF(E13&gt;40,E13-40,0)</f>
        <v>0</v>
      </c>
      <c r="P13" s="19">
        <f>IF(F13&gt;40,F13-40,0)</f>
        <v>0</v>
      </c>
      <c r="Q13" s="19">
        <f>IF(G13&gt;40,G13-40,0)</f>
        <v>2</v>
      </c>
      <c r="R13" s="19">
        <f>IF(H13&gt;40,H13-40,0)</f>
        <v>0</v>
      </c>
      <c r="S13" s="13">
        <f t="shared" si="4"/>
        <v>0</v>
      </c>
      <c r="T13" s="13">
        <f t="shared" si="1"/>
        <v>0</v>
      </c>
      <c r="U13" s="13">
        <f t="shared" si="1"/>
        <v>0</v>
      </c>
      <c r="V13" s="13">
        <f t="shared" si="1"/>
        <v>13.9</v>
      </c>
      <c r="W13" s="13">
        <f t="shared" si="1"/>
        <v>0</v>
      </c>
      <c r="X13" s="24">
        <f>I13+S13</f>
        <v>556</v>
      </c>
      <c r="Y13" s="24">
        <f>J13+T13</f>
        <v>556</v>
      </c>
      <c r="Z13" s="24">
        <f>K13+U13</f>
        <v>556</v>
      </c>
      <c r="AA13" s="24">
        <f>L13+V13</f>
        <v>597.70000000000005</v>
      </c>
      <c r="AB13" s="24">
        <f>M13+W13</f>
        <v>514.30000000000007</v>
      </c>
      <c r="AD13" s="25">
        <f t="shared" si="5"/>
        <v>2780</v>
      </c>
    </row>
    <row r="14" spans="1:30">
      <c r="A14" t="s">
        <v>47</v>
      </c>
      <c r="B14" t="s">
        <v>48</v>
      </c>
      <c r="C14" s="4">
        <v>11.2</v>
      </c>
      <c r="D14" s="8">
        <v>40</v>
      </c>
      <c r="E14" s="8">
        <v>43</v>
      </c>
      <c r="F14" s="8">
        <v>35</v>
      </c>
      <c r="G14" s="8">
        <v>31</v>
      </c>
      <c r="H14" s="8">
        <v>40</v>
      </c>
      <c r="I14" s="11">
        <f t="shared" si="2"/>
        <v>448</v>
      </c>
      <c r="J14" s="11">
        <f t="shared" si="3"/>
        <v>481.59999999999997</v>
      </c>
      <c r="K14" s="11">
        <f t="shared" si="3"/>
        <v>392</v>
      </c>
      <c r="L14" s="11">
        <f t="shared" si="3"/>
        <v>347.2</v>
      </c>
      <c r="M14" s="11">
        <f t="shared" si="3"/>
        <v>448</v>
      </c>
      <c r="N14" s="19">
        <f>IF(D14&gt;40,D14-40,0)</f>
        <v>0</v>
      </c>
      <c r="O14" s="19">
        <f>IF(E14&gt;40,E14-40,0)</f>
        <v>3</v>
      </c>
      <c r="P14" s="19">
        <f>IF(F14&gt;40,F14-40,0)</f>
        <v>0</v>
      </c>
      <c r="Q14" s="19">
        <f>IF(G14&gt;40,G14-40,0)</f>
        <v>0</v>
      </c>
      <c r="R14" s="19">
        <f>IF(H14&gt;40,H14-40,0)</f>
        <v>0</v>
      </c>
      <c r="S14" s="13">
        <f t="shared" si="4"/>
        <v>0</v>
      </c>
      <c r="T14" s="13">
        <f t="shared" si="1"/>
        <v>16.799999999999997</v>
      </c>
      <c r="U14" s="13">
        <f t="shared" si="1"/>
        <v>0</v>
      </c>
      <c r="V14" s="13">
        <f t="shared" si="1"/>
        <v>0</v>
      </c>
      <c r="W14" s="13">
        <f t="shared" si="1"/>
        <v>0</v>
      </c>
      <c r="X14" s="24">
        <f>I14+S14</f>
        <v>448</v>
      </c>
      <c r="Y14" s="24">
        <f>J14+T14</f>
        <v>498.4</v>
      </c>
      <c r="Z14" s="24">
        <f>K14+U14</f>
        <v>392</v>
      </c>
      <c r="AA14" s="24">
        <f>L14+V14</f>
        <v>347.2</v>
      </c>
      <c r="AB14" s="24">
        <f>M14+W14</f>
        <v>448</v>
      </c>
      <c r="AD14" s="25">
        <f t="shared" si="5"/>
        <v>2133.6000000000004</v>
      </c>
    </row>
    <row r="15" spans="1:30">
      <c r="A15" t="s">
        <v>49</v>
      </c>
      <c r="B15" t="s">
        <v>50</v>
      </c>
      <c r="C15" s="4">
        <v>10.1</v>
      </c>
      <c r="D15" s="8">
        <v>40</v>
      </c>
      <c r="E15" s="8">
        <v>35</v>
      </c>
      <c r="F15" s="8">
        <v>37</v>
      </c>
      <c r="G15" s="8">
        <v>23</v>
      </c>
      <c r="H15" s="8">
        <v>41</v>
      </c>
      <c r="I15" s="11">
        <f t="shared" si="2"/>
        <v>404</v>
      </c>
      <c r="J15" s="11">
        <f t="shared" si="3"/>
        <v>353.5</v>
      </c>
      <c r="K15" s="11">
        <f t="shared" si="3"/>
        <v>373.7</v>
      </c>
      <c r="L15" s="11">
        <f t="shared" si="3"/>
        <v>232.29999999999998</v>
      </c>
      <c r="M15" s="11">
        <f t="shared" si="3"/>
        <v>414.09999999999997</v>
      </c>
      <c r="N15" s="19">
        <f>IF(D15&gt;40,D15-40,0)</f>
        <v>0</v>
      </c>
      <c r="O15" s="19">
        <f>IF(E15&gt;40,E15-40,0)</f>
        <v>0</v>
      </c>
      <c r="P15" s="19">
        <f>IF(F15&gt;40,F15-40,0)</f>
        <v>0</v>
      </c>
      <c r="Q15" s="19">
        <f>IF(G15&gt;40,G15-40,0)</f>
        <v>0</v>
      </c>
      <c r="R15" s="19">
        <f>IF(H15&gt;40,H15-40,0)</f>
        <v>1</v>
      </c>
      <c r="S15" s="13">
        <f t="shared" si="4"/>
        <v>0</v>
      </c>
      <c r="T15" s="13">
        <f t="shared" si="1"/>
        <v>0</v>
      </c>
      <c r="U15" s="13">
        <f t="shared" si="1"/>
        <v>0</v>
      </c>
      <c r="V15" s="13">
        <f t="shared" si="1"/>
        <v>0</v>
      </c>
      <c r="W15" s="13">
        <f t="shared" si="1"/>
        <v>5.05</v>
      </c>
      <c r="X15" s="24">
        <f>I15+S15</f>
        <v>404</v>
      </c>
      <c r="Y15" s="24">
        <f>J15+T15</f>
        <v>353.5</v>
      </c>
      <c r="Z15" s="24">
        <f>K15+U15</f>
        <v>373.7</v>
      </c>
      <c r="AA15" s="24">
        <f>L15+V15</f>
        <v>232.29999999999998</v>
      </c>
      <c r="AB15" s="24">
        <f>M15+W15</f>
        <v>419.15</v>
      </c>
      <c r="AD15" s="25">
        <f t="shared" si="5"/>
        <v>1782.65</v>
      </c>
    </row>
    <row r="16" spans="1:30">
      <c r="A16" t="s">
        <v>51</v>
      </c>
      <c r="B16" t="s">
        <v>52</v>
      </c>
      <c r="C16" s="4">
        <v>9</v>
      </c>
      <c r="D16" s="8">
        <v>42</v>
      </c>
      <c r="E16" s="8">
        <v>42</v>
      </c>
      <c r="F16" s="8">
        <v>32</v>
      </c>
      <c r="G16" s="8">
        <v>45</v>
      </c>
      <c r="H16" s="8">
        <v>41</v>
      </c>
      <c r="I16" s="11">
        <f t="shared" si="2"/>
        <v>378</v>
      </c>
      <c r="J16" s="11">
        <f t="shared" si="3"/>
        <v>378</v>
      </c>
      <c r="K16" s="11">
        <f t="shared" si="3"/>
        <v>288</v>
      </c>
      <c r="L16" s="11">
        <f t="shared" si="3"/>
        <v>405</v>
      </c>
      <c r="M16" s="11">
        <f t="shared" si="3"/>
        <v>369</v>
      </c>
      <c r="N16" s="19">
        <f>IF(D16&gt;40,D16-40,0)</f>
        <v>2</v>
      </c>
      <c r="O16" s="19">
        <f>IF(E16&gt;40,E16-40,0)</f>
        <v>2</v>
      </c>
      <c r="P16" s="19">
        <f>IF(F16&gt;40,F16-40,0)</f>
        <v>0</v>
      </c>
      <c r="Q16" s="19">
        <f>IF(G16&gt;40,G16-40,0)</f>
        <v>5</v>
      </c>
      <c r="R16" s="19">
        <f>IF(H16&gt;40,H16-40,0)</f>
        <v>1</v>
      </c>
      <c r="S16" s="13">
        <f t="shared" si="4"/>
        <v>9</v>
      </c>
      <c r="T16" s="13">
        <f t="shared" si="1"/>
        <v>9</v>
      </c>
      <c r="U16" s="13">
        <f t="shared" si="1"/>
        <v>0</v>
      </c>
      <c r="V16" s="13">
        <f t="shared" si="1"/>
        <v>22.5</v>
      </c>
      <c r="W16" s="13">
        <f t="shared" si="1"/>
        <v>4.5</v>
      </c>
      <c r="X16" s="24">
        <f>I16+S16</f>
        <v>387</v>
      </c>
      <c r="Y16" s="24">
        <f>J16+T16</f>
        <v>387</v>
      </c>
      <c r="Z16" s="24">
        <f>K16+U16</f>
        <v>288</v>
      </c>
      <c r="AA16" s="24">
        <f>L16+V16</f>
        <v>427.5</v>
      </c>
      <c r="AB16" s="24">
        <f>M16+W16</f>
        <v>373.5</v>
      </c>
      <c r="AD16" s="25">
        <f t="shared" si="5"/>
        <v>1863</v>
      </c>
    </row>
    <row r="17" spans="1:30">
      <c r="A17" t="s">
        <v>53</v>
      </c>
      <c r="B17" t="s">
        <v>54</v>
      </c>
      <c r="C17" s="4">
        <v>8.44</v>
      </c>
      <c r="D17" s="8">
        <v>40</v>
      </c>
      <c r="E17" s="8">
        <v>41</v>
      </c>
      <c r="F17" s="8">
        <v>41</v>
      </c>
      <c r="G17" s="8">
        <v>44</v>
      </c>
      <c r="H17" s="8">
        <v>42</v>
      </c>
      <c r="I17" s="11">
        <f t="shared" si="2"/>
        <v>337.59999999999997</v>
      </c>
      <c r="J17" s="11">
        <f t="shared" si="3"/>
        <v>346.03999999999996</v>
      </c>
      <c r="K17" s="11">
        <f t="shared" si="3"/>
        <v>346.03999999999996</v>
      </c>
      <c r="L17" s="11">
        <f t="shared" si="3"/>
        <v>371.35999999999996</v>
      </c>
      <c r="M17" s="11">
        <f t="shared" si="3"/>
        <v>354.47999999999996</v>
      </c>
      <c r="N17" s="19">
        <f>IF(D17&gt;40,D17-40,0)</f>
        <v>0</v>
      </c>
      <c r="O17" s="19">
        <f>IF(E17&gt;40,E17-40,0)</f>
        <v>1</v>
      </c>
      <c r="P17" s="19">
        <f>IF(F17&gt;40,F17-40,0)</f>
        <v>1</v>
      </c>
      <c r="Q17" s="19">
        <f>IF(G17&gt;40,G17-40,0)</f>
        <v>4</v>
      </c>
      <c r="R17" s="19">
        <f>IF(H17&gt;40,H17-40,0)</f>
        <v>2</v>
      </c>
      <c r="S17" s="13">
        <f t="shared" si="4"/>
        <v>0</v>
      </c>
      <c r="T17" s="13">
        <f t="shared" si="1"/>
        <v>4.22</v>
      </c>
      <c r="U17" s="13">
        <f t="shared" si="1"/>
        <v>4.22</v>
      </c>
      <c r="V17" s="13">
        <f t="shared" si="1"/>
        <v>16.88</v>
      </c>
      <c r="W17" s="13">
        <f t="shared" si="1"/>
        <v>8.44</v>
      </c>
      <c r="X17" s="24">
        <f>I17+S17</f>
        <v>337.59999999999997</v>
      </c>
      <c r="Y17" s="24">
        <f>J17+T17</f>
        <v>350.26</v>
      </c>
      <c r="Z17" s="24">
        <f>K17+U17</f>
        <v>350.26</v>
      </c>
      <c r="AA17" s="24">
        <f>L17+V17</f>
        <v>388.23999999999995</v>
      </c>
      <c r="AB17" s="24">
        <f>M17+W17</f>
        <v>362.91999999999996</v>
      </c>
      <c r="AD17" s="25">
        <f t="shared" si="5"/>
        <v>1789.2799999999997</v>
      </c>
    </row>
    <row r="18" spans="1:30">
      <c r="A18" t="s">
        <v>55</v>
      </c>
      <c r="B18" t="s">
        <v>56</v>
      </c>
      <c r="C18" s="4">
        <v>14.2</v>
      </c>
      <c r="D18" s="8">
        <v>40</v>
      </c>
      <c r="E18" s="8">
        <v>36</v>
      </c>
      <c r="F18" s="8">
        <v>40</v>
      </c>
      <c r="G18" s="8">
        <v>42</v>
      </c>
      <c r="H18" s="8">
        <v>42</v>
      </c>
      <c r="I18" s="11">
        <f t="shared" si="2"/>
        <v>568</v>
      </c>
      <c r="J18" s="11">
        <f t="shared" si="3"/>
        <v>511.2</v>
      </c>
      <c r="K18" s="11">
        <f t="shared" si="3"/>
        <v>568</v>
      </c>
      <c r="L18" s="11">
        <f t="shared" si="3"/>
        <v>596.4</v>
      </c>
      <c r="M18" s="11">
        <f t="shared" si="3"/>
        <v>596.4</v>
      </c>
      <c r="N18" s="19">
        <f>IF(D18&gt;40,D18-40,0)</f>
        <v>0</v>
      </c>
      <c r="O18" s="19">
        <f>IF(E18&gt;40,E18-40,0)</f>
        <v>0</v>
      </c>
      <c r="P18" s="19">
        <f>IF(F18&gt;40,F18-40,0)</f>
        <v>0</v>
      </c>
      <c r="Q18" s="19">
        <f>IF(G18&gt;40,G18-40,0)</f>
        <v>2</v>
      </c>
      <c r="R18" s="19">
        <f>IF(H18&gt;40,H18-40,0)</f>
        <v>2</v>
      </c>
      <c r="S18" s="13">
        <f t="shared" si="4"/>
        <v>0</v>
      </c>
      <c r="T18" s="13">
        <f t="shared" si="1"/>
        <v>0</v>
      </c>
      <c r="U18" s="13">
        <f t="shared" si="1"/>
        <v>0</v>
      </c>
      <c r="V18" s="13">
        <f t="shared" si="1"/>
        <v>14.2</v>
      </c>
      <c r="W18" s="13">
        <f t="shared" si="1"/>
        <v>14.2</v>
      </c>
      <c r="X18" s="24">
        <f>I18+S18</f>
        <v>568</v>
      </c>
      <c r="Y18" s="24">
        <f>J18+T18</f>
        <v>511.2</v>
      </c>
      <c r="Z18" s="24">
        <f>K18+U18</f>
        <v>568</v>
      </c>
      <c r="AA18" s="24">
        <f>L18+V18</f>
        <v>610.6</v>
      </c>
      <c r="AB18" s="24">
        <f>M18+W18</f>
        <v>610.6</v>
      </c>
      <c r="AD18" s="25">
        <f t="shared" si="5"/>
        <v>2868.4</v>
      </c>
    </row>
    <row r="19" spans="1:30">
      <c r="A19" t="s">
        <v>57</v>
      </c>
      <c r="B19" t="s">
        <v>58</v>
      </c>
      <c r="C19" s="4">
        <v>45</v>
      </c>
      <c r="D19" s="8">
        <v>41</v>
      </c>
      <c r="E19" s="8">
        <v>25</v>
      </c>
      <c r="F19" s="8">
        <v>40</v>
      </c>
      <c r="G19" s="8">
        <v>41</v>
      </c>
      <c r="H19" s="8">
        <v>42</v>
      </c>
      <c r="I19" s="11">
        <f t="shared" si="2"/>
        <v>1845</v>
      </c>
      <c r="J19" s="11">
        <f t="shared" si="3"/>
        <v>1125</v>
      </c>
      <c r="K19" s="11">
        <f t="shared" si="3"/>
        <v>1800</v>
      </c>
      <c r="L19" s="11">
        <f t="shared" si="3"/>
        <v>1845</v>
      </c>
      <c r="M19" s="11">
        <f t="shared" si="3"/>
        <v>1890</v>
      </c>
      <c r="N19" s="19">
        <f>IF(D19&gt;40,D19-40,0)</f>
        <v>1</v>
      </c>
      <c r="O19" s="19">
        <f>IF(E19&gt;40,E19-40,0)</f>
        <v>0</v>
      </c>
      <c r="P19" s="19">
        <f>IF(F19&gt;40,F19-40,0)</f>
        <v>0</v>
      </c>
      <c r="Q19" s="19">
        <f>IF(G19&gt;40,G19-40,0)</f>
        <v>1</v>
      </c>
      <c r="R19" s="19">
        <f>IF(H19&gt;40,H19-40,0)</f>
        <v>2</v>
      </c>
      <c r="S19" s="13">
        <f t="shared" si="4"/>
        <v>22.5</v>
      </c>
      <c r="T19" s="13">
        <f t="shared" si="1"/>
        <v>0</v>
      </c>
      <c r="U19" s="13">
        <f t="shared" si="1"/>
        <v>0</v>
      </c>
      <c r="V19" s="13">
        <f t="shared" si="1"/>
        <v>22.5</v>
      </c>
      <c r="W19" s="13">
        <f t="shared" si="1"/>
        <v>45</v>
      </c>
      <c r="X19" s="24">
        <f>I19+S19</f>
        <v>1867.5</v>
      </c>
      <c r="Y19" s="24">
        <f>J19+T19</f>
        <v>1125</v>
      </c>
      <c r="Z19" s="24">
        <f>K19+U19</f>
        <v>1800</v>
      </c>
      <c r="AA19" s="24">
        <f>L19+V19</f>
        <v>1867.5</v>
      </c>
      <c r="AB19" s="24">
        <f>M19+W19</f>
        <v>1935</v>
      </c>
      <c r="AD19" s="25">
        <f t="shared" si="5"/>
        <v>8595</v>
      </c>
    </row>
    <row r="20" spans="1:30">
      <c r="A20" t="s">
        <v>59</v>
      </c>
      <c r="B20" t="s">
        <v>60</v>
      </c>
      <c r="C20" s="4">
        <v>30</v>
      </c>
      <c r="D20" s="8">
        <v>39</v>
      </c>
      <c r="E20" s="8">
        <v>40</v>
      </c>
      <c r="F20" s="8">
        <v>40</v>
      </c>
      <c r="G20" s="8">
        <v>40</v>
      </c>
      <c r="H20" s="8">
        <v>40</v>
      </c>
      <c r="I20" s="11">
        <f t="shared" si="2"/>
        <v>1170</v>
      </c>
      <c r="J20" s="11">
        <f t="shared" ref="J20" si="6">$C20*E20</f>
        <v>1200</v>
      </c>
      <c r="K20" s="11">
        <f t="shared" ref="K20" si="7">$C20*F20</f>
        <v>1200</v>
      </c>
      <c r="L20" s="11">
        <f t="shared" ref="L20" si="8">$C20*G20</f>
        <v>1200</v>
      </c>
      <c r="M20" s="11">
        <f t="shared" ref="M20" si="9">$C20*H20</f>
        <v>1200</v>
      </c>
      <c r="N20" s="19">
        <f>IF(D20&gt;40,D20-40,0)</f>
        <v>0</v>
      </c>
      <c r="O20" s="19">
        <f>IF(E20&gt;40,E20-40,0)</f>
        <v>0</v>
      </c>
      <c r="P20" s="19">
        <f>IF(F20&gt;40,F20-40,0)</f>
        <v>0</v>
      </c>
      <c r="Q20" s="19">
        <f>IF(G20&gt;40,G20-40,0)</f>
        <v>0</v>
      </c>
      <c r="R20" s="19">
        <f>IF(H20&gt;40,H20-40,0)</f>
        <v>0</v>
      </c>
      <c r="S20" s="13">
        <f t="shared" si="4"/>
        <v>0</v>
      </c>
      <c r="T20" s="13">
        <f t="shared" ref="T20" si="10">0.5*$C20*O20</f>
        <v>0</v>
      </c>
      <c r="U20" s="13">
        <f t="shared" ref="U20" si="11">0.5*$C20*P20</f>
        <v>0</v>
      </c>
      <c r="V20" s="13">
        <f t="shared" ref="V20" si="12">0.5*$C20*Q20</f>
        <v>0</v>
      </c>
      <c r="W20" s="13">
        <f t="shared" ref="W20" si="13">0.5*$C20*R20</f>
        <v>0</v>
      </c>
      <c r="X20" s="24">
        <f>I20+S20</f>
        <v>1170</v>
      </c>
      <c r="Y20" s="24">
        <f>J20+T20</f>
        <v>1200</v>
      </c>
      <c r="Z20" s="24">
        <f>K20+U20</f>
        <v>1200</v>
      </c>
      <c r="AA20" s="24">
        <f>L20+V20</f>
        <v>1200</v>
      </c>
      <c r="AB20" s="24">
        <f>M20+W20</f>
        <v>1200</v>
      </c>
      <c r="AD20" s="25">
        <f t="shared" si="5"/>
        <v>5970</v>
      </c>
    </row>
    <row r="21" spans="1:30">
      <c r="AD21" s="7"/>
    </row>
    <row r="22" spans="1:30">
      <c r="A22" t="s">
        <v>61</v>
      </c>
      <c r="C22" s="5">
        <f>MAX(C4:C20)</f>
        <v>45</v>
      </c>
      <c r="D22" s="6">
        <f>MAX(D4:D20)</f>
        <v>55</v>
      </c>
      <c r="E22" s="6">
        <f t="shared" ref="E22:H22" si="14">MAX(E4:E20)</f>
        <v>44</v>
      </c>
      <c r="F22" s="6">
        <f t="shared" si="14"/>
        <v>41</v>
      </c>
      <c r="G22" s="6">
        <f t="shared" si="14"/>
        <v>45</v>
      </c>
      <c r="H22" s="6">
        <f t="shared" si="14"/>
        <v>46</v>
      </c>
      <c r="I22" s="4">
        <f>MAX(I4:I20)</f>
        <v>1845</v>
      </c>
      <c r="J22" s="4">
        <f t="shared" ref="J22:M22" si="15">MAX(J4:J20)</f>
        <v>1200</v>
      </c>
      <c r="K22" s="4">
        <f t="shared" si="15"/>
        <v>1800</v>
      </c>
      <c r="L22" s="4">
        <f t="shared" si="15"/>
        <v>1845</v>
      </c>
      <c r="M22" s="4">
        <f t="shared" si="15"/>
        <v>1890</v>
      </c>
      <c r="N22" s="6"/>
      <c r="O22" s="6"/>
      <c r="P22" s="6"/>
      <c r="Q22" s="6"/>
      <c r="R22" s="6"/>
      <c r="S22" s="4">
        <f t="shared" ref="S22:W22" si="16">MAX(S4:S20)</f>
        <v>135</v>
      </c>
      <c r="T22" s="4">
        <f t="shared" si="16"/>
        <v>28.4</v>
      </c>
      <c r="U22" s="4">
        <f t="shared" si="16"/>
        <v>4.22</v>
      </c>
      <c r="V22" s="4">
        <f t="shared" si="16"/>
        <v>22.5</v>
      </c>
      <c r="W22" s="4">
        <f t="shared" si="16"/>
        <v>47.7</v>
      </c>
      <c r="X22" s="4">
        <f t="shared" ref="X22:AB22" si="17">MAX(X4:X20)</f>
        <v>1867.5</v>
      </c>
      <c r="Y22" s="4">
        <f t="shared" si="17"/>
        <v>1200</v>
      </c>
      <c r="Z22" s="4">
        <f t="shared" si="17"/>
        <v>1800</v>
      </c>
      <c r="AA22" s="4">
        <f t="shared" si="17"/>
        <v>1867.5</v>
      </c>
      <c r="AB22" s="4">
        <f t="shared" si="17"/>
        <v>1935</v>
      </c>
      <c r="AD22" s="26">
        <f t="shared" ref="AD22" si="18">MAX(AD4:AD20)</f>
        <v>8595</v>
      </c>
    </row>
    <row r="23" spans="1:30">
      <c r="A23" t="s">
        <v>62</v>
      </c>
      <c r="C23" s="5">
        <f>MIN(C4:C20)</f>
        <v>6.9</v>
      </c>
      <c r="D23" s="6">
        <f>MIN(D4:D20)</f>
        <v>29</v>
      </c>
      <c r="E23" s="6">
        <f t="shared" ref="E23:H23" si="19">MIN(E4:E20)</f>
        <v>25</v>
      </c>
      <c r="F23" s="6">
        <f t="shared" si="19"/>
        <v>25</v>
      </c>
      <c r="G23" s="6">
        <f t="shared" si="19"/>
        <v>20</v>
      </c>
      <c r="H23" s="6">
        <f t="shared" si="19"/>
        <v>30</v>
      </c>
      <c r="I23" s="4">
        <f>MIN(I4:I20)</f>
        <v>269.10000000000002</v>
      </c>
      <c r="J23" s="4">
        <f t="shared" ref="J23:M23" si="20">MIN(J4:J20)</f>
        <v>220.8</v>
      </c>
      <c r="K23" s="4">
        <f t="shared" si="20"/>
        <v>282.90000000000003</v>
      </c>
      <c r="L23" s="4">
        <f t="shared" si="20"/>
        <v>232.29999999999998</v>
      </c>
      <c r="M23" s="4">
        <f t="shared" si="20"/>
        <v>289.8</v>
      </c>
      <c r="N23" s="6"/>
      <c r="O23" s="6"/>
      <c r="P23" s="6"/>
      <c r="Q23" s="6"/>
      <c r="R23" s="6"/>
      <c r="S23" s="4">
        <f t="shared" ref="S23:W23" si="21">MIN(S4:S20)</f>
        <v>0</v>
      </c>
      <c r="T23" s="4">
        <f t="shared" si="21"/>
        <v>0</v>
      </c>
      <c r="U23" s="4">
        <f t="shared" si="21"/>
        <v>0</v>
      </c>
      <c r="V23" s="4">
        <f t="shared" si="21"/>
        <v>0</v>
      </c>
      <c r="W23" s="4">
        <f t="shared" si="21"/>
        <v>0</v>
      </c>
      <c r="X23" s="4">
        <f t="shared" ref="X23:AB23" si="22">MIN(X4:X20)</f>
        <v>269.10000000000002</v>
      </c>
      <c r="Y23" s="4">
        <f t="shared" si="22"/>
        <v>220.8</v>
      </c>
      <c r="Z23" s="4">
        <f t="shared" si="22"/>
        <v>286.35000000000002</v>
      </c>
      <c r="AA23" s="4">
        <f t="shared" si="22"/>
        <v>232.29999999999998</v>
      </c>
      <c r="AB23" s="4">
        <f t="shared" si="22"/>
        <v>296.7</v>
      </c>
      <c r="AD23" s="26">
        <f t="shared" ref="AD23" si="23">MIN(AD4:AD20)</f>
        <v>1400.7</v>
      </c>
    </row>
    <row r="24" spans="1:30">
      <c r="A24" t="s">
        <v>63</v>
      </c>
      <c r="C24" s="5">
        <f>AVERAGE(C4:C20)</f>
        <v>16.484705882352941</v>
      </c>
      <c r="D24" s="6">
        <f>AVERAGE(D4:D20)</f>
        <v>40.882352941176471</v>
      </c>
      <c r="E24" s="6">
        <f t="shared" ref="E24:H24" si="24">AVERAGE(E4:E20)</f>
        <v>38.470588235294116</v>
      </c>
      <c r="F24" s="6">
        <f t="shared" si="24"/>
        <v>37.588235294117645</v>
      </c>
      <c r="G24" s="6">
        <f t="shared" si="24"/>
        <v>37.176470588235297</v>
      </c>
      <c r="H24" s="6">
        <f t="shared" si="24"/>
        <v>39.941176470588232</v>
      </c>
      <c r="I24" s="4">
        <f>AVERAGE(I4:I20)</f>
        <v>678.36470588235295</v>
      </c>
      <c r="J24" s="4">
        <f t="shared" ref="J24:M24" si="25">AVERAGE(J4:J20)</f>
        <v>612.17294117647066</v>
      </c>
      <c r="K24" s="4">
        <f t="shared" si="25"/>
        <v>620.56705882352935</v>
      </c>
      <c r="L24" s="4">
        <f t="shared" si="25"/>
        <v>608.85647058823531</v>
      </c>
      <c r="M24" s="4">
        <f t="shared" si="25"/>
        <v>654.89882352941186</v>
      </c>
      <c r="N24" s="6"/>
      <c r="O24" s="6"/>
      <c r="P24" s="6"/>
      <c r="Q24" s="6"/>
      <c r="R24" s="6"/>
      <c r="S24" s="4">
        <f t="shared" ref="S24:W24" si="26">AVERAGE(S4:S20)</f>
        <v>18.932352941176472</v>
      </c>
      <c r="T24" s="4">
        <f t="shared" si="26"/>
        <v>5.789411764705882</v>
      </c>
      <c r="U24" s="4">
        <f t="shared" si="26"/>
        <v>0.45117647058823529</v>
      </c>
      <c r="V24" s="4">
        <f t="shared" si="26"/>
        <v>8.6194117647058821</v>
      </c>
      <c r="W24" s="4">
        <f t="shared" si="26"/>
        <v>9.4435294117647075</v>
      </c>
      <c r="X24" s="4">
        <f t="shared" ref="X24:AB24" si="27">AVERAGE(X4:X20)</f>
        <v>697.29705882352937</v>
      </c>
      <c r="Y24" s="4">
        <f t="shared" si="27"/>
        <v>617.9623529411765</v>
      </c>
      <c r="Z24" s="4">
        <f t="shared" si="27"/>
        <v>621.01823529411774</v>
      </c>
      <c r="AA24" s="4">
        <f t="shared" si="27"/>
        <v>617.4758823529412</v>
      </c>
      <c r="AB24" s="4">
        <f t="shared" si="27"/>
        <v>664.3423529411765</v>
      </c>
      <c r="AD24" s="26">
        <f t="shared" ref="AD24" si="28">AVERAGE(AD4:AD20)</f>
        <v>3218.0958823529413</v>
      </c>
    </row>
    <row r="25" spans="1:30">
      <c r="A25" t="s">
        <v>64</v>
      </c>
      <c r="D25" s="6">
        <f>SUM(D4:D20)</f>
        <v>695</v>
      </c>
      <c r="E25" s="6">
        <f t="shared" ref="E25:H25" si="29">SUM(E4:E20)</f>
        <v>654</v>
      </c>
      <c r="F25" s="6">
        <f t="shared" si="29"/>
        <v>639</v>
      </c>
      <c r="G25" s="6">
        <f t="shared" si="29"/>
        <v>632</v>
      </c>
      <c r="H25" s="6">
        <f t="shared" si="29"/>
        <v>679</v>
      </c>
      <c r="I25" s="5">
        <f>SUM(I4:I20)</f>
        <v>11532.2</v>
      </c>
      <c r="J25" s="5">
        <f t="shared" ref="J25:M25" si="30">SUM(J4:J20)</f>
        <v>10406.94</v>
      </c>
      <c r="K25" s="5">
        <f t="shared" si="30"/>
        <v>10549.64</v>
      </c>
      <c r="L25" s="5">
        <f t="shared" si="30"/>
        <v>10350.56</v>
      </c>
      <c r="M25" s="5">
        <f t="shared" si="30"/>
        <v>11133.28</v>
      </c>
      <c r="S25" s="5">
        <f t="shared" ref="S25:W25" si="31">SUM(S4:S20)</f>
        <v>321.85000000000002</v>
      </c>
      <c r="T25" s="5">
        <f t="shared" si="31"/>
        <v>98.42</v>
      </c>
      <c r="U25" s="5">
        <f t="shared" si="31"/>
        <v>7.67</v>
      </c>
      <c r="V25" s="5">
        <f t="shared" si="31"/>
        <v>146.53</v>
      </c>
      <c r="W25" s="5">
        <f t="shared" si="31"/>
        <v>160.54000000000002</v>
      </c>
      <c r="X25" s="5">
        <f t="shared" ref="X25:AB25" si="32">SUM(X4:X20)</f>
        <v>11854.05</v>
      </c>
      <c r="Y25" s="5">
        <f t="shared" si="32"/>
        <v>10505.36</v>
      </c>
      <c r="Z25" s="5">
        <f t="shared" si="32"/>
        <v>10557.310000000001</v>
      </c>
      <c r="AA25" s="5">
        <f t="shared" si="32"/>
        <v>10497.09</v>
      </c>
      <c r="AB25" s="5">
        <f t="shared" si="32"/>
        <v>11293.82</v>
      </c>
      <c r="AD25" s="25">
        <f t="shared" ref="AD25" si="33">SUM(AD4:AD20)</f>
        <v>54707.630000000005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8ED9-AE46-4D14-8ED8-CCBA6593E8DE}">
  <dimension ref="A1:M24"/>
  <sheetViews>
    <sheetView topLeftCell="C16" workbookViewId="0">
      <selection activeCell="I14" sqref="I14"/>
    </sheetView>
  </sheetViews>
  <sheetFormatPr defaultRowHeight="14.5"/>
  <cols>
    <col min="1" max="1" width="12.1796875" customWidth="1"/>
    <col min="2" max="2" width="12.81640625" customWidth="1"/>
    <col min="3" max="3" width="6.90625" customWidth="1"/>
    <col min="4" max="4" width="6.36328125" customWidth="1"/>
    <col min="5" max="5" width="6.54296875" customWidth="1"/>
    <col min="6" max="6" width="5.1796875" customWidth="1"/>
    <col min="8" max="8" width="6.90625" customWidth="1"/>
    <col min="9" max="10" width="5.6328125" customWidth="1"/>
    <col min="11" max="11" width="6.1796875" customWidth="1"/>
  </cols>
  <sheetData>
    <row r="1" spans="1:13" ht="123.5">
      <c r="A1" t="s">
        <v>1</v>
      </c>
      <c r="C1" s="27" t="s">
        <v>71</v>
      </c>
      <c r="D1" s="27" t="s">
        <v>72</v>
      </c>
      <c r="E1" s="27" t="s">
        <v>73</v>
      </c>
      <c r="F1" s="27" t="s">
        <v>74</v>
      </c>
      <c r="H1" s="27" t="s">
        <v>71</v>
      </c>
      <c r="I1" s="27" t="s">
        <v>72</v>
      </c>
      <c r="J1" s="27" t="s">
        <v>73</v>
      </c>
      <c r="K1" s="27" t="s">
        <v>74</v>
      </c>
      <c r="M1" s="27" t="s">
        <v>76</v>
      </c>
    </row>
    <row r="2" spans="1:13">
      <c r="B2" t="s">
        <v>75</v>
      </c>
      <c r="C2">
        <v>10</v>
      </c>
      <c r="D2">
        <v>20</v>
      </c>
      <c r="E2">
        <v>100</v>
      </c>
      <c r="F2">
        <v>1</v>
      </c>
    </row>
    <row r="3" spans="1:13">
      <c r="A3" t="s">
        <v>22</v>
      </c>
      <c r="B3" t="s">
        <v>23</v>
      </c>
    </row>
    <row r="4" spans="1:13">
      <c r="A4" t="s">
        <v>27</v>
      </c>
      <c r="B4" t="s">
        <v>28</v>
      </c>
      <c r="C4">
        <v>10</v>
      </c>
      <c r="D4">
        <v>19</v>
      </c>
      <c r="E4">
        <v>93</v>
      </c>
      <c r="F4">
        <v>1</v>
      </c>
      <c r="H4" s="28">
        <f>C4/C$2</f>
        <v>1</v>
      </c>
      <c r="I4" s="28">
        <f>D4/D$2</f>
        <v>0.95</v>
      </c>
      <c r="J4" s="28">
        <f>E4/E$2</f>
        <v>0.93</v>
      </c>
      <c r="K4" s="28">
        <f>F4/F$2</f>
        <v>1</v>
      </c>
      <c r="M4" s="28" t="b">
        <f>OR(H4&lt;0.5,I4&lt;0.5,J4&lt;0.5,K4&lt;0.5)</f>
        <v>0</v>
      </c>
    </row>
    <row r="5" spans="1:13">
      <c r="A5" t="s">
        <v>29</v>
      </c>
      <c r="B5" t="s">
        <v>30</v>
      </c>
      <c r="C5">
        <v>9</v>
      </c>
      <c r="D5">
        <v>20</v>
      </c>
      <c r="E5">
        <v>100</v>
      </c>
      <c r="F5">
        <v>1</v>
      </c>
      <c r="H5" s="28">
        <f t="shared" ref="H5:H20" si="0">C5/C$2</f>
        <v>0.9</v>
      </c>
      <c r="I5" s="28">
        <f t="shared" ref="I5:I20" si="1">D5/D$2</f>
        <v>1</v>
      </c>
      <c r="J5" s="28">
        <f t="shared" ref="J5:J20" si="2">E5/E$2</f>
        <v>1</v>
      </c>
      <c r="K5" s="28">
        <f t="shared" ref="K5:K20" si="3">F5/F$2</f>
        <v>1</v>
      </c>
      <c r="M5" s="28" t="b">
        <f t="shared" ref="M5:M20" si="4">OR(H5&lt;0.5,I5&lt;0.5,J5&lt;0.5,K5&lt;0.5)</f>
        <v>0</v>
      </c>
    </row>
    <row r="6" spans="1:13">
      <c r="A6" t="s">
        <v>31</v>
      </c>
      <c r="B6" t="s">
        <v>32</v>
      </c>
      <c r="C6">
        <v>8</v>
      </c>
      <c r="D6">
        <v>17</v>
      </c>
      <c r="E6">
        <v>82</v>
      </c>
      <c r="F6">
        <v>1</v>
      </c>
      <c r="H6" s="28">
        <f t="shared" si="0"/>
        <v>0.8</v>
      </c>
      <c r="I6" s="28">
        <f t="shared" si="1"/>
        <v>0.85</v>
      </c>
      <c r="J6" s="28">
        <f t="shared" si="2"/>
        <v>0.82</v>
      </c>
      <c r="K6" s="28">
        <f t="shared" si="3"/>
        <v>1</v>
      </c>
      <c r="M6" s="28" t="b">
        <f t="shared" si="4"/>
        <v>0</v>
      </c>
    </row>
    <row r="7" spans="1:13">
      <c r="A7" t="s">
        <v>33</v>
      </c>
      <c r="B7" t="s">
        <v>34</v>
      </c>
      <c r="C7">
        <v>9</v>
      </c>
      <c r="D7">
        <v>10</v>
      </c>
      <c r="E7">
        <v>73</v>
      </c>
      <c r="F7">
        <v>1</v>
      </c>
      <c r="H7" s="28">
        <f t="shared" si="0"/>
        <v>0.9</v>
      </c>
      <c r="I7" s="28">
        <f t="shared" si="1"/>
        <v>0.5</v>
      </c>
      <c r="J7" s="28">
        <f t="shared" si="2"/>
        <v>0.73</v>
      </c>
      <c r="K7" s="28">
        <f t="shared" si="3"/>
        <v>1</v>
      </c>
      <c r="M7" s="28" t="b">
        <f t="shared" si="4"/>
        <v>0</v>
      </c>
    </row>
    <row r="8" spans="1:13">
      <c r="A8" t="s">
        <v>35</v>
      </c>
      <c r="B8" t="s">
        <v>36</v>
      </c>
      <c r="C8">
        <v>10</v>
      </c>
      <c r="D8">
        <v>20</v>
      </c>
      <c r="E8">
        <v>59</v>
      </c>
      <c r="F8">
        <v>1</v>
      </c>
      <c r="H8" s="28">
        <f t="shared" si="0"/>
        <v>1</v>
      </c>
      <c r="I8" s="28">
        <f t="shared" si="1"/>
        <v>1</v>
      </c>
      <c r="J8" s="28">
        <f t="shared" si="2"/>
        <v>0.59</v>
      </c>
      <c r="K8" s="28">
        <f t="shared" si="3"/>
        <v>1</v>
      </c>
      <c r="M8" s="28" t="b">
        <f t="shared" si="4"/>
        <v>0</v>
      </c>
    </row>
    <row r="9" spans="1:13">
      <c r="A9" t="s">
        <v>37</v>
      </c>
      <c r="B9" t="s">
        <v>38</v>
      </c>
      <c r="C9">
        <v>9</v>
      </c>
      <c r="D9">
        <v>17</v>
      </c>
      <c r="E9">
        <v>100</v>
      </c>
      <c r="F9">
        <v>1</v>
      </c>
      <c r="H9" s="28">
        <f t="shared" si="0"/>
        <v>0.9</v>
      </c>
      <c r="I9" s="28">
        <f t="shared" si="1"/>
        <v>0.85</v>
      </c>
      <c r="J9" s="28">
        <f t="shared" si="2"/>
        <v>1</v>
      </c>
      <c r="K9" s="28">
        <f t="shared" si="3"/>
        <v>1</v>
      </c>
      <c r="M9" s="28" t="b">
        <f t="shared" si="4"/>
        <v>0</v>
      </c>
    </row>
    <row r="10" spans="1:13">
      <c r="A10" t="s">
        <v>39</v>
      </c>
      <c r="B10" t="s">
        <v>40</v>
      </c>
      <c r="C10">
        <v>8</v>
      </c>
      <c r="D10">
        <v>20</v>
      </c>
      <c r="E10">
        <v>100</v>
      </c>
      <c r="F10">
        <v>0</v>
      </c>
      <c r="H10" s="28">
        <f t="shared" si="0"/>
        <v>0.8</v>
      </c>
      <c r="I10" s="28">
        <f t="shared" si="1"/>
        <v>1</v>
      </c>
      <c r="J10" s="28">
        <f t="shared" si="2"/>
        <v>1</v>
      </c>
      <c r="K10" s="28">
        <f t="shared" si="3"/>
        <v>0</v>
      </c>
      <c r="M10" s="28" t="b">
        <f t="shared" si="4"/>
        <v>1</v>
      </c>
    </row>
    <row r="11" spans="1:13">
      <c r="A11" t="s">
        <v>41</v>
      </c>
      <c r="B11" t="s">
        <v>42</v>
      </c>
      <c r="C11">
        <v>5</v>
      </c>
      <c r="D11">
        <v>6</v>
      </c>
      <c r="E11">
        <v>100</v>
      </c>
      <c r="F11">
        <v>1</v>
      </c>
      <c r="H11" s="28">
        <f t="shared" si="0"/>
        <v>0.5</v>
      </c>
      <c r="I11" s="28">
        <f t="shared" si="1"/>
        <v>0.3</v>
      </c>
      <c r="J11" s="28">
        <f t="shared" si="2"/>
        <v>1</v>
      </c>
      <c r="K11" s="28">
        <f t="shared" si="3"/>
        <v>1</v>
      </c>
      <c r="M11" s="28" t="b">
        <f t="shared" si="4"/>
        <v>1</v>
      </c>
    </row>
    <row r="12" spans="1:13">
      <c r="A12" t="s">
        <v>43</v>
      </c>
      <c r="B12" t="s">
        <v>44</v>
      </c>
      <c r="C12">
        <v>10</v>
      </c>
      <c r="D12">
        <v>20</v>
      </c>
      <c r="E12">
        <v>67</v>
      </c>
      <c r="F12">
        <v>1</v>
      </c>
      <c r="H12" s="28">
        <f t="shared" si="0"/>
        <v>1</v>
      </c>
      <c r="I12" s="28">
        <f t="shared" si="1"/>
        <v>1</v>
      </c>
      <c r="J12" s="28">
        <f t="shared" si="2"/>
        <v>0.67</v>
      </c>
      <c r="K12" s="28">
        <f t="shared" si="3"/>
        <v>1</v>
      </c>
      <c r="M12" s="28" t="b">
        <f t="shared" si="4"/>
        <v>0</v>
      </c>
    </row>
    <row r="13" spans="1:13">
      <c r="A13" t="s">
        <v>45</v>
      </c>
      <c r="B13" t="s">
        <v>46</v>
      </c>
      <c r="C13">
        <v>9</v>
      </c>
      <c r="D13">
        <v>20</v>
      </c>
      <c r="E13">
        <v>70</v>
      </c>
      <c r="F13">
        <v>1</v>
      </c>
      <c r="H13" s="28">
        <f t="shared" si="0"/>
        <v>0.9</v>
      </c>
      <c r="I13" s="28">
        <f t="shared" si="1"/>
        <v>1</v>
      </c>
      <c r="J13" s="28">
        <f t="shared" si="2"/>
        <v>0.7</v>
      </c>
      <c r="K13" s="28">
        <f t="shared" si="3"/>
        <v>1</v>
      </c>
      <c r="M13" s="28" t="b">
        <f t="shared" si="4"/>
        <v>0</v>
      </c>
    </row>
    <row r="14" spans="1:13">
      <c r="A14" t="s">
        <v>47</v>
      </c>
      <c r="B14" t="s">
        <v>48</v>
      </c>
      <c r="C14">
        <v>10</v>
      </c>
      <c r="D14">
        <v>19</v>
      </c>
      <c r="E14">
        <v>80</v>
      </c>
      <c r="F14">
        <v>1</v>
      </c>
      <c r="H14" s="28">
        <f t="shared" si="0"/>
        <v>1</v>
      </c>
      <c r="I14" s="28">
        <f t="shared" si="1"/>
        <v>0.95</v>
      </c>
      <c r="J14" s="28">
        <f t="shared" si="2"/>
        <v>0.8</v>
      </c>
      <c r="K14" s="28">
        <f t="shared" si="3"/>
        <v>1</v>
      </c>
      <c r="M14" s="28" t="b">
        <f t="shared" si="4"/>
        <v>0</v>
      </c>
    </row>
    <row r="15" spans="1:13">
      <c r="A15" t="s">
        <v>49</v>
      </c>
      <c r="B15" t="s">
        <v>50</v>
      </c>
      <c r="C15">
        <v>8</v>
      </c>
      <c r="D15">
        <v>17</v>
      </c>
      <c r="E15">
        <v>90</v>
      </c>
      <c r="F15">
        <v>1</v>
      </c>
      <c r="H15" s="28">
        <f t="shared" si="0"/>
        <v>0.8</v>
      </c>
      <c r="I15" s="28">
        <f t="shared" si="1"/>
        <v>0.85</v>
      </c>
      <c r="J15" s="28">
        <f t="shared" si="2"/>
        <v>0.9</v>
      </c>
      <c r="K15" s="28">
        <f t="shared" si="3"/>
        <v>1</v>
      </c>
      <c r="M15" s="28" t="b">
        <f t="shared" si="4"/>
        <v>0</v>
      </c>
    </row>
    <row r="16" spans="1:13">
      <c r="A16" t="s">
        <v>51</v>
      </c>
      <c r="B16" t="s">
        <v>52</v>
      </c>
      <c r="C16">
        <v>9</v>
      </c>
      <c r="D16">
        <v>19</v>
      </c>
      <c r="E16">
        <v>45</v>
      </c>
      <c r="F16">
        <v>0</v>
      </c>
      <c r="H16" s="28">
        <f t="shared" si="0"/>
        <v>0.9</v>
      </c>
      <c r="I16" s="28">
        <f t="shared" si="1"/>
        <v>0.95</v>
      </c>
      <c r="J16" s="28">
        <f t="shared" si="2"/>
        <v>0.45</v>
      </c>
      <c r="K16" s="28">
        <f t="shared" si="3"/>
        <v>0</v>
      </c>
      <c r="M16" s="28" t="b">
        <f t="shared" si="4"/>
        <v>1</v>
      </c>
    </row>
    <row r="17" spans="1:13">
      <c r="A17" t="s">
        <v>53</v>
      </c>
      <c r="B17" t="s">
        <v>54</v>
      </c>
      <c r="C17">
        <v>7</v>
      </c>
      <c r="D17">
        <v>20</v>
      </c>
      <c r="E17">
        <v>90</v>
      </c>
      <c r="F17">
        <v>1</v>
      </c>
      <c r="H17" s="28">
        <f t="shared" si="0"/>
        <v>0.7</v>
      </c>
      <c r="I17" s="28">
        <f t="shared" si="1"/>
        <v>1</v>
      </c>
      <c r="J17" s="28">
        <f t="shared" si="2"/>
        <v>0.9</v>
      </c>
      <c r="K17" s="28">
        <f t="shared" si="3"/>
        <v>1</v>
      </c>
      <c r="M17" s="28" t="b">
        <f t="shared" si="4"/>
        <v>0</v>
      </c>
    </row>
    <row r="18" spans="1:13">
      <c r="A18" t="s">
        <v>55</v>
      </c>
      <c r="B18" t="s">
        <v>56</v>
      </c>
      <c r="C18">
        <v>10</v>
      </c>
      <c r="D18">
        <v>10</v>
      </c>
      <c r="E18">
        <v>80</v>
      </c>
      <c r="F18">
        <v>1</v>
      </c>
      <c r="H18" s="28">
        <f t="shared" si="0"/>
        <v>1</v>
      </c>
      <c r="I18" s="28">
        <f t="shared" si="1"/>
        <v>0.5</v>
      </c>
      <c r="J18" s="28">
        <f t="shared" si="2"/>
        <v>0.8</v>
      </c>
      <c r="K18" s="28">
        <f t="shared" si="3"/>
        <v>1</v>
      </c>
      <c r="M18" s="28" t="b">
        <f t="shared" si="4"/>
        <v>0</v>
      </c>
    </row>
    <row r="19" spans="1:13">
      <c r="A19" t="s">
        <v>57</v>
      </c>
      <c r="B19" t="s">
        <v>58</v>
      </c>
      <c r="C19">
        <v>6</v>
      </c>
      <c r="D19">
        <v>20</v>
      </c>
      <c r="E19">
        <v>69</v>
      </c>
      <c r="F19">
        <v>1</v>
      </c>
      <c r="H19" s="28">
        <f t="shared" si="0"/>
        <v>0.6</v>
      </c>
      <c r="I19" s="28">
        <f t="shared" si="1"/>
        <v>1</v>
      </c>
      <c r="J19" s="28">
        <f t="shared" si="2"/>
        <v>0.69</v>
      </c>
      <c r="K19" s="28">
        <f t="shared" si="3"/>
        <v>1</v>
      </c>
      <c r="M19" s="28" t="b">
        <f t="shared" si="4"/>
        <v>0</v>
      </c>
    </row>
    <row r="20" spans="1:13">
      <c r="A20" t="s">
        <v>59</v>
      </c>
      <c r="B20" t="s">
        <v>60</v>
      </c>
      <c r="C20">
        <v>10</v>
      </c>
      <c r="D20">
        <v>14</v>
      </c>
      <c r="E20">
        <v>90</v>
      </c>
      <c r="F20">
        <v>1</v>
      </c>
      <c r="H20" s="28">
        <f t="shared" si="0"/>
        <v>1</v>
      </c>
      <c r="I20" s="28">
        <f t="shared" si="1"/>
        <v>0.7</v>
      </c>
      <c r="J20" s="28">
        <f t="shared" si="2"/>
        <v>0.9</v>
      </c>
      <c r="K20" s="28">
        <f t="shared" si="3"/>
        <v>1</v>
      </c>
      <c r="M20" s="28" t="b">
        <f t="shared" si="4"/>
        <v>0</v>
      </c>
    </row>
    <row r="22" spans="1:13">
      <c r="A22" t="s">
        <v>61</v>
      </c>
      <c r="C22">
        <f>MAX(C4:C20)</f>
        <v>10</v>
      </c>
      <c r="D22">
        <f t="shared" ref="D22:F22" si="5">MAX(D4:D20)</f>
        <v>20</v>
      </c>
      <c r="E22">
        <f t="shared" si="5"/>
        <v>100</v>
      </c>
      <c r="F22">
        <f t="shared" si="5"/>
        <v>1</v>
      </c>
      <c r="H22" s="28">
        <f t="shared" ref="H22:K22" si="6">MAX(H4:H20)</f>
        <v>1</v>
      </c>
      <c r="I22" s="28">
        <f t="shared" si="6"/>
        <v>1</v>
      </c>
      <c r="J22" s="28">
        <f t="shared" si="6"/>
        <v>1</v>
      </c>
      <c r="K22" s="28">
        <f t="shared" si="6"/>
        <v>1</v>
      </c>
    </row>
    <row r="23" spans="1:13">
      <c r="A23" t="s">
        <v>62</v>
      </c>
      <c r="C23">
        <f>MIN(C4:C20)</f>
        <v>5</v>
      </c>
      <c r="D23">
        <f t="shared" ref="D23:F23" si="7">MIN(D4:D20)</f>
        <v>6</v>
      </c>
      <c r="E23">
        <f t="shared" si="7"/>
        <v>45</v>
      </c>
      <c r="F23">
        <f t="shared" si="7"/>
        <v>0</v>
      </c>
      <c r="H23" s="28">
        <f t="shared" ref="H23:K23" si="8">MIN(H4:H20)</f>
        <v>0.5</v>
      </c>
      <c r="I23" s="28">
        <f t="shared" si="8"/>
        <v>0.3</v>
      </c>
      <c r="J23" s="28">
        <f t="shared" si="8"/>
        <v>0.45</v>
      </c>
      <c r="K23" s="28">
        <f t="shared" si="8"/>
        <v>0</v>
      </c>
    </row>
    <row r="24" spans="1:13">
      <c r="A24" t="s">
        <v>63</v>
      </c>
      <c r="C24" s="3">
        <f>AVERAGE(C4:C20)</f>
        <v>8.6470588235294112</v>
      </c>
      <c r="D24" s="3">
        <f t="shared" ref="D24:F24" si="9">AVERAGE(D4:D20)</f>
        <v>16.941176470588236</v>
      </c>
      <c r="E24" s="3">
        <f t="shared" si="9"/>
        <v>81.647058823529406</v>
      </c>
      <c r="F24" s="3">
        <f t="shared" si="9"/>
        <v>0.88235294117647056</v>
      </c>
      <c r="H24" s="28">
        <f t="shared" ref="H24:K24" si="10">AVERAGE(H4:H20)</f>
        <v>0.8647058823529411</v>
      </c>
      <c r="I24" s="28">
        <f t="shared" si="10"/>
        <v>0.84705882352941153</v>
      </c>
      <c r="J24" s="28">
        <f t="shared" si="10"/>
        <v>0.81647058823529417</v>
      </c>
      <c r="K24" s="28">
        <f t="shared" si="10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B9BE-A7CF-4FF0-91DB-2804EB260256}">
  <dimension ref="A1:M9"/>
  <sheetViews>
    <sheetView workbookViewId="0">
      <selection activeCell="N11" sqref="N11"/>
    </sheetView>
  </sheetViews>
  <sheetFormatPr defaultRowHeight="14.5"/>
  <cols>
    <col min="4" max="4" width="11.1796875" customWidth="1"/>
    <col min="6" max="6" width="10" customWidth="1"/>
    <col min="8" max="8" width="9.36328125" customWidth="1"/>
  </cols>
  <sheetData>
    <row r="1" spans="1:13">
      <c r="A1" t="s">
        <v>77</v>
      </c>
    </row>
    <row r="2" spans="1:13">
      <c r="C2" t="s">
        <v>88</v>
      </c>
    </row>
    <row r="3" spans="1:13">
      <c r="B3" t="s">
        <v>89</v>
      </c>
    </row>
    <row r="4" spans="1:13">
      <c r="A4" t="s">
        <v>78</v>
      </c>
      <c r="B4" s="19" t="s">
        <v>26</v>
      </c>
      <c r="C4" s="19">
        <v>3</v>
      </c>
      <c r="D4" s="29" t="s">
        <v>84</v>
      </c>
      <c r="E4" s="29">
        <v>5</v>
      </c>
      <c r="F4" s="30" t="s">
        <v>85</v>
      </c>
      <c r="G4" s="30">
        <v>4</v>
      </c>
      <c r="H4" s="31" t="s">
        <v>86</v>
      </c>
      <c r="I4" s="31">
        <v>3</v>
      </c>
      <c r="J4" s="32" t="s">
        <v>87</v>
      </c>
      <c r="K4" s="32">
        <v>1</v>
      </c>
      <c r="L4" t="s">
        <v>64</v>
      </c>
    </row>
    <row r="5" spans="1:13">
      <c r="A5" t="s">
        <v>79</v>
      </c>
      <c r="B5" s="19">
        <v>1</v>
      </c>
      <c r="C5" s="19">
        <f>B5*C$4</f>
        <v>3</v>
      </c>
      <c r="D5" s="29">
        <v>5</v>
      </c>
      <c r="E5" s="29">
        <f>D5*E$4</f>
        <v>25</v>
      </c>
      <c r="F5" s="30">
        <v>1</v>
      </c>
      <c r="G5" s="30">
        <f>F5*G$4</f>
        <v>4</v>
      </c>
      <c r="H5" s="31">
        <v>4</v>
      </c>
      <c r="I5" s="31">
        <f>H5*I$4</f>
        <v>12</v>
      </c>
      <c r="J5" s="32">
        <v>5</v>
      </c>
      <c r="K5" s="32">
        <f>J5*K$4</f>
        <v>5</v>
      </c>
      <c r="L5">
        <f>C5+E5+G5+I5+K5</f>
        <v>49</v>
      </c>
    </row>
    <row r="6" spans="1:13">
      <c r="A6" t="s">
        <v>80</v>
      </c>
      <c r="B6" s="19">
        <v>4</v>
      </c>
      <c r="C6" s="19">
        <f t="shared" ref="C6:E9" si="0">B6*C$4</f>
        <v>12</v>
      </c>
      <c r="D6" s="29">
        <v>4</v>
      </c>
      <c r="E6" s="29">
        <f t="shared" si="0"/>
        <v>20</v>
      </c>
      <c r="F6" s="30">
        <v>3</v>
      </c>
      <c r="G6" s="30">
        <f t="shared" ref="G6" si="1">F6*G$4</f>
        <v>12</v>
      </c>
      <c r="H6" s="31">
        <v>2</v>
      </c>
      <c r="I6" s="31">
        <f t="shared" ref="I6" si="2">H6*I$4</f>
        <v>6</v>
      </c>
      <c r="J6" s="32">
        <v>1</v>
      </c>
      <c r="K6" s="32">
        <f t="shared" ref="K6" si="3">J6*K$4</f>
        <v>1</v>
      </c>
      <c r="L6">
        <f t="shared" ref="L6:L9" si="4">C6+E6+G6+I6+K6</f>
        <v>51</v>
      </c>
    </row>
    <row r="7" spans="1:13">
      <c r="A7" t="s">
        <v>81</v>
      </c>
      <c r="B7" s="19">
        <v>5</v>
      </c>
      <c r="C7" s="19">
        <f t="shared" si="0"/>
        <v>15</v>
      </c>
      <c r="D7" s="29">
        <v>1</v>
      </c>
      <c r="E7" s="29">
        <f t="shared" si="0"/>
        <v>5</v>
      </c>
      <c r="F7" s="30">
        <v>5</v>
      </c>
      <c r="G7" s="30">
        <f t="shared" ref="G7" si="5">F7*G$4</f>
        <v>20</v>
      </c>
      <c r="H7" s="31">
        <v>3</v>
      </c>
      <c r="I7" s="31">
        <f t="shared" ref="I7" si="6">H7*I$4</f>
        <v>9</v>
      </c>
      <c r="J7" s="32">
        <v>3</v>
      </c>
      <c r="K7" s="32">
        <f t="shared" ref="K7" si="7">J7*K$4</f>
        <v>3</v>
      </c>
      <c r="L7">
        <f t="shared" si="4"/>
        <v>52</v>
      </c>
    </row>
    <row r="8" spans="1:13">
      <c r="A8" t="s">
        <v>82</v>
      </c>
      <c r="B8" s="19">
        <v>3</v>
      </c>
      <c r="C8" s="19">
        <f t="shared" si="0"/>
        <v>9</v>
      </c>
      <c r="D8" s="29">
        <v>5</v>
      </c>
      <c r="E8" s="29">
        <f t="shared" si="0"/>
        <v>25</v>
      </c>
      <c r="F8" s="30">
        <v>4</v>
      </c>
      <c r="G8" s="30">
        <f t="shared" ref="G8" si="8">F8*G$4</f>
        <v>16</v>
      </c>
      <c r="H8" s="31">
        <v>4</v>
      </c>
      <c r="I8" s="31">
        <f t="shared" ref="I8" si="9">H8*I$4</f>
        <v>12</v>
      </c>
      <c r="J8" s="32">
        <v>3</v>
      </c>
      <c r="K8" s="32">
        <f t="shared" ref="K8" si="10">J8*K$4</f>
        <v>3</v>
      </c>
      <c r="L8">
        <f t="shared" si="4"/>
        <v>65</v>
      </c>
      <c r="M8" t="s">
        <v>90</v>
      </c>
    </row>
    <row r="9" spans="1:13">
      <c r="A9" t="s">
        <v>83</v>
      </c>
      <c r="B9" s="19">
        <v>3</v>
      </c>
      <c r="C9" s="19">
        <f t="shared" si="0"/>
        <v>9</v>
      </c>
      <c r="D9" s="29">
        <v>5</v>
      </c>
      <c r="E9" s="29">
        <f t="shared" si="0"/>
        <v>25</v>
      </c>
      <c r="F9" s="30">
        <v>2</v>
      </c>
      <c r="G9" s="30">
        <f t="shared" ref="G9" si="11">F9*G$4</f>
        <v>8</v>
      </c>
      <c r="H9" s="31">
        <v>2</v>
      </c>
      <c r="I9" s="31">
        <f t="shared" ref="I9" si="12">H9*I$4</f>
        <v>6</v>
      </c>
      <c r="J9" s="32">
        <v>5</v>
      </c>
      <c r="K9" s="32">
        <f t="shared" ref="K9" si="13">J9*K$4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49F0-F4F1-451B-8EF9-7E6A03D9A0B4}">
  <dimension ref="A1:N178"/>
  <sheetViews>
    <sheetView topLeftCell="A2" workbookViewId="0">
      <selection activeCell="A4" sqref="A4:K174"/>
    </sheetView>
  </sheetViews>
  <sheetFormatPr defaultColWidth="12" defaultRowHeight="15.5"/>
  <cols>
    <col min="1" max="3" width="12" style="33"/>
    <col min="4" max="4" width="20" style="33" customWidth="1"/>
    <col min="5" max="7" width="12" style="33"/>
    <col min="8" max="8" width="15.08984375" style="38" customWidth="1"/>
    <col min="9" max="16384" width="12" style="33"/>
  </cols>
  <sheetData>
    <row r="1" spans="1:14">
      <c r="A1" s="33" t="s">
        <v>127</v>
      </c>
    </row>
    <row r="3" spans="1:14" ht="77.5">
      <c r="A3" s="36" t="s">
        <v>91</v>
      </c>
      <c r="B3" s="36" t="s">
        <v>92</v>
      </c>
      <c r="C3" s="36" t="s">
        <v>93</v>
      </c>
      <c r="D3" s="36" t="s">
        <v>94</v>
      </c>
      <c r="E3" s="36" t="s">
        <v>95</v>
      </c>
      <c r="F3" s="36" t="s">
        <v>96</v>
      </c>
      <c r="G3" s="36" t="s">
        <v>97</v>
      </c>
      <c r="H3" s="39" t="s">
        <v>128</v>
      </c>
      <c r="I3" s="36" t="s">
        <v>23</v>
      </c>
      <c r="J3" s="36" t="s">
        <v>22</v>
      </c>
      <c r="K3" s="36" t="s">
        <v>98</v>
      </c>
      <c r="M3" s="33" t="s">
        <v>129</v>
      </c>
    </row>
    <row r="4" spans="1:14">
      <c r="A4" s="34" t="s">
        <v>99</v>
      </c>
      <c r="B4" s="35">
        <v>1004</v>
      </c>
      <c r="C4" s="33">
        <v>8722</v>
      </c>
      <c r="D4" s="33" t="s">
        <v>106</v>
      </c>
      <c r="E4" s="37">
        <v>344</v>
      </c>
      <c r="F4" s="37">
        <v>502</v>
      </c>
      <c r="G4" s="37">
        <f>F4-E4</f>
        <v>158</v>
      </c>
      <c r="H4" s="38">
        <f>IF(F4&gt;50,G4*0.2,G4*0.1)</f>
        <v>31.6</v>
      </c>
      <c r="I4" s="33" t="s">
        <v>138</v>
      </c>
      <c r="J4" s="33" t="s">
        <v>139</v>
      </c>
      <c r="K4" s="33" t="s">
        <v>105</v>
      </c>
      <c r="M4" s="33" t="s">
        <v>130</v>
      </c>
      <c r="N4" s="33" t="s">
        <v>137</v>
      </c>
    </row>
    <row r="5" spans="1:14">
      <c r="A5" s="34" t="s">
        <v>111</v>
      </c>
      <c r="B5" s="35">
        <v>1028</v>
      </c>
      <c r="C5" s="33">
        <v>8722</v>
      </c>
      <c r="D5" s="33" t="s">
        <v>106</v>
      </c>
      <c r="E5" s="37">
        <v>344</v>
      </c>
      <c r="F5" s="37">
        <v>502</v>
      </c>
      <c r="G5" s="37">
        <f>F5-E5</f>
        <v>158</v>
      </c>
      <c r="H5" s="38">
        <f>IF(F5&gt;50,G5*0.2,G5*0.1)</f>
        <v>31.6</v>
      </c>
      <c r="I5" s="33" t="s">
        <v>138</v>
      </c>
      <c r="J5" s="33" t="s">
        <v>139</v>
      </c>
      <c r="K5" s="33" t="s">
        <v>105</v>
      </c>
      <c r="M5" s="33" t="s">
        <v>131</v>
      </c>
    </row>
    <row r="6" spans="1:14">
      <c r="A6" s="34" t="s">
        <v>111</v>
      </c>
      <c r="B6" s="35">
        <v>1032</v>
      </c>
      <c r="C6" s="33">
        <v>2877</v>
      </c>
      <c r="D6" s="33" t="s">
        <v>102</v>
      </c>
      <c r="E6" s="37">
        <v>11.4</v>
      </c>
      <c r="F6" s="37">
        <v>16.3</v>
      </c>
      <c r="G6" s="37">
        <f>F6-E6</f>
        <v>4.9000000000000004</v>
      </c>
      <c r="H6" s="38">
        <f>IF(F6&gt;50,G6*0.2,G6*0.1)</f>
        <v>0.49000000000000005</v>
      </c>
      <c r="I6" s="33" t="s">
        <v>138</v>
      </c>
      <c r="J6" s="33" t="s">
        <v>139</v>
      </c>
      <c r="K6" s="33" t="s">
        <v>105</v>
      </c>
      <c r="M6" s="33" t="s">
        <v>132</v>
      </c>
    </row>
    <row r="7" spans="1:14">
      <c r="A7" s="34" t="s">
        <v>116</v>
      </c>
      <c r="B7" s="35">
        <v>1048</v>
      </c>
      <c r="C7" s="33">
        <v>8722</v>
      </c>
      <c r="D7" s="33" t="s">
        <v>106</v>
      </c>
      <c r="E7" s="37">
        <v>344</v>
      </c>
      <c r="F7" s="37">
        <v>502</v>
      </c>
      <c r="G7" s="37">
        <f>F7-E7</f>
        <v>158</v>
      </c>
      <c r="H7" s="38">
        <f>IF(F7&gt;50,G7*0.2,G7*0.1)</f>
        <v>31.6</v>
      </c>
      <c r="I7" s="33" t="s">
        <v>138</v>
      </c>
      <c r="J7" s="33" t="s">
        <v>139</v>
      </c>
      <c r="K7" s="33" t="s">
        <v>105</v>
      </c>
      <c r="M7" s="33" t="s">
        <v>133</v>
      </c>
    </row>
    <row r="8" spans="1:14">
      <c r="A8" s="34" t="s">
        <v>118</v>
      </c>
      <c r="B8" s="35">
        <v>1050</v>
      </c>
      <c r="C8" s="33">
        <v>2877</v>
      </c>
      <c r="D8" s="33" t="s">
        <v>102</v>
      </c>
      <c r="E8" s="37">
        <v>11.4</v>
      </c>
      <c r="F8" s="37">
        <v>16.3</v>
      </c>
      <c r="G8" s="37">
        <f>F8-E8</f>
        <v>4.9000000000000004</v>
      </c>
      <c r="H8" s="38">
        <f>IF(F8&gt;50,G8*0.2,G8*0.1)</f>
        <v>0.49000000000000005</v>
      </c>
      <c r="I8" s="33" t="s">
        <v>138</v>
      </c>
      <c r="J8" s="33" t="s">
        <v>139</v>
      </c>
      <c r="K8" s="33" t="s">
        <v>105</v>
      </c>
      <c r="M8" s="33" t="s">
        <v>134</v>
      </c>
    </row>
    <row r="9" spans="1:14">
      <c r="A9" s="34" t="s">
        <v>119</v>
      </c>
      <c r="B9" s="35">
        <v>1062</v>
      </c>
      <c r="C9" s="33">
        <v>2499</v>
      </c>
      <c r="D9" s="33" t="s">
        <v>104</v>
      </c>
      <c r="E9" s="37">
        <v>6.2</v>
      </c>
      <c r="F9" s="37">
        <v>9.1999999999999993</v>
      </c>
      <c r="G9" s="37">
        <f>F9-E9</f>
        <v>2.9999999999999991</v>
      </c>
      <c r="H9" s="38">
        <f>IF(F9&gt;50,G9*0.2,G9*0.1)</f>
        <v>0.29999999999999993</v>
      </c>
      <c r="I9" s="33" t="s">
        <v>138</v>
      </c>
      <c r="J9" s="33" t="s">
        <v>139</v>
      </c>
      <c r="K9" s="33" t="s">
        <v>105</v>
      </c>
      <c r="M9" s="33" t="s">
        <v>135</v>
      </c>
    </row>
    <row r="10" spans="1:14">
      <c r="A10" s="34" t="s">
        <v>119</v>
      </c>
      <c r="B10" s="35">
        <v>1071</v>
      </c>
      <c r="C10" s="33">
        <v>1109</v>
      </c>
      <c r="D10" s="33" t="s">
        <v>107</v>
      </c>
      <c r="E10" s="37">
        <v>3</v>
      </c>
      <c r="F10" s="37">
        <v>8</v>
      </c>
      <c r="G10" s="37">
        <f>F10-E10</f>
        <v>5</v>
      </c>
      <c r="H10" s="38">
        <f>IF(F10&gt;50,G10*0.2,G10*0.1)</f>
        <v>0.5</v>
      </c>
      <c r="I10" s="33" t="s">
        <v>138</v>
      </c>
      <c r="J10" s="33" t="s">
        <v>139</v>
      </c>
      <c r="K10" s="33" t="s">
        <v>105</v>
      </c>
      <c r="M10" s="33" t="s">
        <v>136</v>
      </c>
    </row>
    <row r="11" spans="1:14">
      <c r="A11" s="34" t="s">
        <v>120</v>
      </c>
      <c r="B11" s="35">
        <v>1084</v>
      </c>
      <c r="C11" s="33">
        <v>6119</v>
      </c>
      <c r="D11" s="33" t="s">
        <v>115</v>
      </c>
      <c r="E11" s="37">
        <v>9</v>
      </c>
      <c r="F11" s="37">
        <v>14</v>
      </c>
      <c r="G11" s="37">
        <f>F11-E11</f>
        <v>5</v>
      </c>
      <c r="H11" s="38">
        <f>IF(F11&gt;50,G11*0.2,G11*0.1)</f>
        <v>0.5</v>
      </c>
      <c r="I11" s="33" t="s">
        <v>138</v>
      </c>
      <c r="J11" s="33" t="s">
        <v>139</v>
      </c>
      <c r="K11" s="33" t="s">
        <v>105</v>
      </c>
    </row>
    <row r="12" spans="1:14">
      <c r="A12" s="34" t="s">
        <v>121</v>
      </c>
      <c r="B12" s="35">
        <v>1115</v>
      </c>
      <c r="C12" s="33">
        <v>8722</v>
      </c>
      <c r="D12" s="33" t="s">
        <v>106</v>
      </c>
      <c r="E12" s="37">
        <v>344</v>
      </c>
      <c r="F12" s="37">
        <v>502</v>
      </c>
      <c r="G12" s="37">
        <f>F12-E12</f>
        <v>158</v>
      </c>
      <c r="H12" s="38">
        <f>IF(F12&gt;50,G12*0.2,G12*0.1)</f>
        <v>31.6</v>
      </c>
      <c r="I12" s="33" t="s">
        <v>138</v>
      </c>
      <c r="J12" s="33" t="s">
        <v>139</v>
      </c>
      <c r="K12" s="33" t="s">
        <v>105</v>
      </c>
    </row>
    <row r="13" spans="1:14">
      <c r="A13" s="34" t="s">
        <v>122</v>
      </c>
      <c r="B13" s="35">
        <v>1133</v>
      </c>
      <c r="C13" s="33">
        <v>9822</v>
      </c>
      <c r="D13" s="33" t="s">
        <v>100</v>
      </c>
      <c r="E13" s="37">
        <v>58.3</v>
      </c>
      <c r="F13" s="37">
        <v>98.4</v>
      </c>
      <c r="G13" s="37">
        <f>F13-E13</f>
        <v>40.100000000000009</v>
      </c>
      <c r="H13" s="38">
        <f>IF(F13&gt;50,G13*0.2,G13*0.1)</f>
        <v>8.0200000000000014</v>
      </c>
      <c r="I13" s="33" t="s">
        <v>138</v>
      </c>
      <c r="J13" s="33" t="s">
        <v>139</v>
      </c>
      <c r="K13" s="33" t="s">
        <v>105</v>
      </c>
    </row>
    <row r="14" spans="1:14">
      <c r="A14" s="34" t="s">
        <v>123</v>
      </c>
      <c r="B14" s="35">
        <v>1149</v>
      </c>
      <c r="C14" s="33">
        <v>8722</v>
      </c>
      <c r="D14" s="33" t="s">
        <v>106</v>
      </c>
      <c r="E14" s="37">
        <v>344</v>
      </c>
      <c r="F14" s="37">
        <v>502</v>
      </c>
      <c r="G14" s="37">
        <f>F14-E14</f>
        <v>158</v>
      </c>
      <c r="H14" s="38">
        <f>IF(F14&gt;50,G14*0.2,G14*0.1)</f>
        <v>31.6</v>
      </c>
      <c r="I14" s="33" t="s">
        <v>138</v>
      </c>
      <c r="J14" s="33" t="s">
        <v>139</v>
      </c>
      <c r="K14" s="33" t="s">
        <v>105</v>
      </c>
    </row>
    <row r="15" spans="1:14">
      <c r="A15" s="34" t="s">
        <v>125</v>
      </c>
      <c r="B15" s="35">
        <v>1162</v>
      </c>
      <c r="C15" s="33">
        <v>9212</v>
      </c>
      <c r="D15" s="33" t="s">
        <v>110</v>
      </c>
      <c r="E15" s="37">
        <v>4</v>
      </c>
      <c r="F15" s="37">
        <v>7</v>
      </c>
      <c r="G15" s="37">
        <f>F15-E15</f>
        <v>3</v>
      </c>
      <c r="H15" s="38">
        <f>IF(F15&gt;50,G15*0.2,G15*0.1)</f>
        <v>0.30000000000000004</v>
      </c>
      <c r="I15" s="33" t="s">
        <v>138</v>
      </c>
      <c r="J15" s="33" t="s">
        <v>139</v>
      </c>
      <c r="K15" s="33" t="s">
        <v>105</v>
      </c>
    </row>
    <row r="16" spans="1:14">
      <c r="A16" s="34" t="s">
        <v>99</v>
      </c>
      <c r="B16" s="35">
        <v>1011</v>
      </c>
      <c r="C16" s="33">
        <v>2877</v>
      </c>
      <c r="D16" s="33" t="s">
        <v>102</v>
      </c>
      <c r="E16" s="37">
        <v>11.4</v>
      </c>
      <c r="F16" s="37">
        <v>16.3</v>
      </c>
      <c r="G16" s="37">
        <f>F16-E16</f>
        <v>4.9000000000000004</v>
      </c>
      <c r="H16" s="38">
        <f>IF(F16&gt;50,G16*0.2,G16*0.1)</f>
        <v>0.49000000000000005</v>
      </c>
      <c r="I16" s="33" t="s">
        <v>140</v>
      </c>
      <c r="J16" s="33" t="s">
        <v>141</v>
      </c>
      <c r="K16" s="33" t="s">
        <v>105</v>
      </c>
    </row>
    <row r="17" spans="1:11">
      <c r="A17" s="34" t="s">
        <v>111</v>
      </c>
      <c r="B17" s="35">
        <v>1029</v>
      </c>
      <c r="C17" s="33">
        <v>2499</v>
      </c>
      <c r="D17" s="33" t="s">
        <v>104</v>
      </c>
      <c r="E17" s="37">
        <v>6.2</v>
      </c>
      <c r="F17" s="37">
        <v>9.1999999999999993</v>
      </c>
      <c r="G17" s="37">
        <f>F17-E17</f>
        <v>2.9999999999999991</v>
      </c>
      <c r="H17" s="38">
        <f>IF(F17&gt;50,G17*0.2,G17*0.1)</f>
        <v>0.29999999999999993</v>
      </c>
      <c r="I17" s="33" t="s">
        <v>140</v>
      </c>
      <c r="J17" s="33" t="s">
        <v>141</v>
      </c>
      <c r="K17" s="33" t="s">
        <v>105</v>
      </c>
    </row>
    <row r="18" spans="1:11">
      <c r="A18" s="34" t="s">
        <v>116</v>
      </c>
      <c r="B18" s="35">
        <v>1040</v>
      </c>
      <c r="C18" s="33">
        <v>1109</v>
      </c>
      <c r="D18" s="33" t="s">
        <v>107</v>
      </c>
      <c r="E18" s="37">
        <v>3</v>
      </c>
      <c r="F18" s="37">
        <v>8</v>
      </c>
      <c r="G18" s="37">
        <f>F18-E18</f>
        <v>5</v>
      </c>
      <c r="H18" s="38">
        <f>IF(F18&gt;50,G18*0.2,G18*0.1)</f>
        <v>0.5</v>
      </c>
      <c r="I18" s="33" t="s">
        <v>140</v>
      </c>
      <c r="J18" s="33" t="s">
        <v>141</v>
      </c>
      <c r="K18" s="33" t="s">
        <v>105</v>
      </c>
    </row>
    <row r="19" spans="1:11">
      <c r="A19" s="34" t="s">
        <v>119</v>
      </c>
      <c r="B19" s="35">
        <v>1076</v>
      </c>
      <c r="C19" s="33">
        <v>1109</v>
      </c>
      <c r="D19" s="33" t="s">
        <v>107</v>
      </c>
      <c r="E19" s="37">
        <v>3</v>
      </c>
      <c r="F19" s="37">
        <v>8</v>
      </c>
      <c r="G19" s="37">
        <f>F19-E19</f>
        <v>5</v>
      </c>
      <c r="H19" s="38">
        <f>IF(F19&gt;50,G19*0.2,G19*0.1)</f>
        <v>0.5</v>
      </c>
      <c r="I19" s="33" t="s">
        <v>140</v>
      </c>
      <c r="J19" s="33" t="s">
        <v>141</v>
      </c>
      <c r="K19" s="33" t="s">
        <v>105</v>
      </c>
    </row>
    <row r="20" spans="1:11">
      <c r="A20" s="34" t="s">
        <v>120</v>
      </c>
      <c r="B20" s="35">
        <v>1093</v>
      </c>
      <c r="C20" s="33">
        <v>6119</v>
      </c>
      <c r="D20" s="33" t="s">
        <v>115</v>
      </c>
      <c r="E20" s="37">
        <v>9</v>
      </c>
      <c r="F20" s="37">
        <v>14</v>
      </c>
      <c r="G20" s="37">
        <f>F20-E20</f>
        <v>5</v>
      </c>
      <c r="H20" s="38">
        <f>IF(F20&gt;50,G20*0.2,G20*0.1)</f>
        <v>0.5</v>
      </c>
      <c r="I20" s="33" t="s">
        <v>140</v>
      </c>
      <c r="J20" s="33" t="s">
        <v>141</v>
      </c>
      <c r="K20" s="33" t="s">
        <v>105</v>
      </c>
    </row>
    <row r="21" spans="1:11">
      <c r="A21" s="34" t="s">
        <v>121</v>
      </c>
      <c r="B21" s="35">
        <v>1103</v>
      </c>
      <c r="C21" s="33">
        <v>2877</v>
      </c>
      <c r="D21" s="33" t="s">
        <v>102</v>
      </c>
      <c r="E21" s="37">
        <v>11.4</v>
      </c>
      <c r="F21" s="37">
        <v>16.3</v>
      </c>
      <c r="G21" s="37">
        <f>F21-E21</f>
        <v>4.9000000000000004</v>
      </c>
      <c r="H21" s="38">
        <f>IF(F21&gt;50,G21*0.2,G21*0.1)</f>
        <v>0.49000000000000005</v>
      </c>
      <c r="I21" s="33" t="s">
        <v>140</v>
      </c>
      <c r="J21" s="33" t="s">
        <v>141</v>
      </c>
      <c r="K21" s="33" t="s">
        <v>105</v>
      </c>
    </row>
    <row r="22" spans="1:11">
      <c r="A22" s="34" t="s">
        <v>121</v>
      </c>
      <c r="B22" s="35">
        <v>1105</v>
      </c>
      <c r="C22" s="33">
        <v>2499</v>
      </c>
      <c r="D22" s="33" t="s">
        <v>104</v>
      </c>
      <c r="E22" s="37">
        <v>6.2</v>
      </c>
      <c r="F22" s="37">
        <v>9.1999999999999993</v>
      </c>
      <c r="G22" s="37">
        <f>F22-E22</f>
        <v>2.9999999999999991</v>
      </c>
      <c r="H22" s="38">
        <f>IF(F22&gt;50,G22*0.2,G22*0.1)</f>
        <v>0.29999999999999993</v>
      </c>
      <c r="I22" s="33" t="s">
        <v>140</v>
      </c>
      <c r="J22" s="33" t="s">
        <v>141</v>
      </c>
      <c r="K22" s="33" t="s">
        <v>105</v>
      </c>
    </row>
    <row r="23" spans="1:11">
      <c r="A23" s="34" t="s">
        <v>121</v>
      </c>
      <c r="B23" s="35">
        <v>1114</v>
      </c>
      <c r="C23" s="33">
        <v>2242</v>
      </c>
      <c r="D23" s="33" t="s">
        <v>112</v>
      </c>
      <c r="E23" s="37">
        <v>60</v>
      </c>
      <c r="F23" s="37">
        <v>124</v>
      </c>
      <c r="G23" s="37">
        <f>F23-E23</f>
        <v>64</v>
      </c>
      <c r="H23" s="38">
        <f>IF(F23&gt;50,G23*0.2,G23*0.1)</f>
        <v>12.8</v>
      </c>
      <c r="I23" s="33" t="s">
        <v>140</v>
      </c>
      <c r="J23" s="33" t="s">
        <v>141</v>
      </c>
      <c r="K23" s="33" t="s">
        <v>105</v>
      </c>
    </row>
    <row r="24" spans="1:11">
      <c r="A24" s="34" t="s">
        <v>122</v>
      </c>
      <c r="B24" s="35">
        <v>1141</v>
      </c>
      <c r="C24" s="33">
        <v>9212</v>
      </c>
      <c r="D24" s="33" t="s">
        <v>110</v>
      </c>
      <c r="E24" s="37">
        <v>4</v>
      </c>
      <c r="F24" s="37">
        <v>7</v>
      </c>
      <c r="G24" s="37">
        <f>F24-E24</f>
        <v>3</v>
      </c>
      <c r="H24" s="38">
        <f>IF(F24&gt;50,G24*0.2,G24*0.1)</f>
        <v>0.30000000000000004</v>
      </c>
      <c r="I24" s="33" t="s">
        <v>140</v>
      </c>
      <c r="J24" s="33" t="s">
        <v>141</v>
      </c>
      <c r="K24" s="33" t="s">
        <v>105</v>
      </c>
    </row>
    <row r="25" spans="1:11">
      <c r="A25" s="34" t="s">
        <v>99</v>
      </c>
      <c r="B25" s="35">
        <v>1015</v>
      </c>
      <c r="C25" s="33">
        <v>2877</v>
      </c>
      <c r="D25" s="33" t="s">
        <v>102</v>
      </c>
      <c r="E25" s="37">
        <v>11.4</v>
      </c>
      <c r="F25" s="37">
        <v>16.3</v>
      </c>
      <c r="G25" s="37">
        <f>F25-E25</f>
        <v>4.9000000000000004</v>
      </c>
      <c r="H25" s="38">
        <f>IF(F25&gt;50,G25*0.2,G25*0.1)</f>
        <v>0.49000000000000005</v>
      </c>
      <c r="I25" s="33" t="s">
        <v>143</v>
      </c>
      <c r="J25" s="33" t="s">
        <v>144</v>
      </c>
      <c r="K25" s="33" t="s">
        <v>105</v>
      </c>
    </row>
    <row r="26" spans="1:11">
      <c r="A26" s="34" t="s">
        <v>116</v>
      </c>
      <c r="B26" s="35">
        <v>1045</v>
      </c>
      <c r="C26" s="33">
        <v>8722</v>
      </c>
      <c r="D26" s="33" t="s">
        <v>106</v>
      </c>
      <c r="E26" s="37">
        <v>344</v>
      </c>
      <c r="F26" s="37">
        <v>502</v>
      </c>
      <c r="G26" s="37">
        <f>F26-E26</f>
        <v>158</v>
      </c>
      <c r="H26" s="38">
        <f>IF(F26&gt;50,G26*0.2,G26*0.1)</f>
        <v>31.6</v>
      </c>
      <c r="I26" s="33" t="s">
        <v>143</v>
      </c>
      <c r="J26" s="33" t="s">
        <v>144</v>
      </c>
      <c r="K26" s="33" t="s">
        <v>105</v>
      </c>
    </row>
    <row r="27" spans="1:11">
      <c r="A27" s="34" t="s">
        <v>116</v>
      </c>
      <c r="B27" s="35">
        <v>1047</v>
      </c>
      <c r="C27" s="33">
        <v>6622</v>
      </c>
      <c r="D27" s="33" t="s">
        <v>117</v>
      </c>
      <c r="E27" s="37">
        <v>42</v>
      </c>
      <c r="F27" s="37">
        <v>77</v>
      </c>
      <c r="G27" s="37">
        <f>F27-E27</f>
        <v>35</v>
      </c>
      <c r="H27" s="38">
        <f>IF(F27&gt;50,G27*0.2,G27*0.1)</f>
        <v>7</v>
      </c>
      <c r="I27" s="33" t="s">
        <v>143</v>
      </c>
      <c r="J27" s="33" t="s">
        <v>144</v>
      </c>
      <c r="K27" s="33" t="s">
        <v>105</v>
      </c>
    </row>
    <row r="28" spans="1:11">
      <c r="A28" s="34" t="s">
        <v>118</v>
      </c>
      <c r="B28" s="35">
        <v>1058</v>
      </c>
      <c r="C28" s="33">
        <v>6119</v>
      </c>
      <c r="D28" s="33" t="s">
        <v>115</v>
      </c>
      <c r="E28" s="37">
        <v>9</v>
      </c>
      <c r="F28" s="37">
        <v>14</v>
      </c>
      <c r="G28" s="37">
        <f>F28-E28</f>
        <v>5</v>
      </c>
      <c r="H28" s="38">
        <f>IF(F28&gt;50,G28*0.2,G28*0.1)</f>
        <v>0.5</v>
      </c>
      <c r="I28" s="33" t="s">
        <v>143</v>
      </c>
      <c r="J28" s="33" t="s">
        <v>144</v>
      </c>
      <c r="K28" s="33" t="s">
        <v>105</v>
      </c>
    </row>
    <row r="29" spans="1:11">
      <c r="A29" s="34" t="s">
        <v>119</v>
      </c>
      <c r="B29" s="35">
        <v>1064</v>
      </c>
      <c r="C29" s="33">
        <v>2499</v>
      </c>
      <c r="D29" s="33" t="s">
        <v>104</v>
      </c>
      <c r="E29" s="37">
        <v>6.2</v>
      </c>
      <c r="F29" s="37">
        <v>9.1999999999999993</v>
      </c>
      <c r="G29" s="37">
        <f>F29-E29</f>
        <v>2.9999999999999991</v>
      </c>
      <c r="H29" s="38">
        <f>IF(F29&gt;50,G29*0.2,G29*0.1)</f>
        <v>0.29999999999999993</v>
      </c>
      <c r="I29" s="33" t="s">
        <v>143</v>
      </c>
      <c r="J29" s="33" t="s">
        <v>144</v>
      </c>
      <c r="K29" s="33" t="s">
        <v>105</v>
      </c>
    </row>
    <row r="30" spans="1:11">
      <c r="A30" s="34" t="s">
        <v>119</v>
      </c>
      <c r="B30" s="35">
        <v>1070</v>
      </c>
      <c r="C30" s="33">
        <v>2499</v>
      </c>
      <c r="D30" s="33" t="s">
        <v>104</v>
      </c>
      <c r="E30" s="37">
        <v>6.2</v>
      </c>
      <c r="F30" s="37">
        <v>9.1999999999999993</v>
      </c>
      <c r="G30" s="37">
        <f>F30-E30</f>
        <v>2.9999999999999991</v>
      </c>
      <c r="H30" s="38">
        <f>IF(F30&gt;50,G30*0.2,G30*0.1)</f>
        <v>0.29999999999999993</v>
      </c>
      <c r="I30" s="33" t="s">
        <v>143</v>
      </c>
      <c r="J30" s="33" t="s">
        <v>144</v>
      </c>
      <c r="K30" s="33" t="s">
        <v>105</v>
      </c>
    </row>
    <row r="31" spans="1:11">
      <c r="A31" s="34" t="s">
        <v>119</v>
      </c>
      <c r="B31" s="35">
        <v>1077</v>
      </c>
      <c r="C31" s="33">
        <v>9822</v>
      </c>
      <c r="D31" s="33" t="s">
        <v>100</v>
      </c>
      <c r="E31" s="37">
        <v>58.3</v>
      </c>
      <c r="F31" s="37">
        <v>98.4</v>
      </c>
      <c r="G31" s="37">
        <f>F31-E31</f>
        <v>40.100000000000009</v>
      </c>
      <c r="H31" s="38">
        <f>IF(F31&gt;50,G31*0.2,G31*0.1)</f>
        <v>8.0200000000000014</v>
      </c>
      <c r="I31" s="33" t="s">
        <v>143</v>
      </c>
      <c r="J31" s="33" t="s">
        <v>144</v>
      </c>
      <c r="K31" s="33" t="s">
        <v>105</v>
      </c>
    </row>
    <row r="32" spans="1:11">
      <c r="A32" s="34" t="s">
        <v>120</v>
      </c>
      <c r="B32" s="35">
        <v>1086</v>
      </c>
      <c r="C32" s="33">
        <v>1109</v>
      </c>
      <c r="D32" s="33" t="s">
        <v>107</v>
      </c>
      <c r="E32" s="37">
        <v>3</v>
      </c>
      <c r="F32" s="37">
        <v>8</v>
      </c>
      <c r="G32" s="37">
        <f>F32-E32</f>
        <v>5</v>
      </c>
      <c r="H32" s="38">
        <f>IF(F32&gt;50,G32*0.2,G32*0.1)</f>
        <v>0.5</v>
      </c>
      <c r="I32" s="33" t="s">
        <v>143</v>
      </c>
      <c r="J32" s="33" t="s">
        <v>144</v>
      </c>
      <c r="K32" s="33" t="s">
        <v>105</v>
      </c>
    </row>
    <row r="33" spans="1:11">
      <c r="A33" s="34" t="s">
        <v>120</v>
      </c>
      <c r="B33" s="35">
        <v>1095</v>
      </c>
      <c r="C33" s="33">
        <v>2499</v>
      </c>
      <c r="D33" s="33" t="s">
        <v>104</v>
      </c>
      <c r="E33" s="37">
        <v>6.2</v>
      </c>
      <c r="F33" s="37">
        <v>9.1999999999999993</v>
      </c>
      <c r="G33" s="37">
        <f>F33-E33</f>
        <v>2.9999999999999991</v>
      </c>
      <c r="H33" s="38">
        <f>IF(F33&gt;50,G33*0.2,G33*0.1)</f>
        <v>0.29999999999999993</v>
      </c>
      <c r="I33" s="33" t="s">
        <v>143</v>
      </c>
      <c r="J33" s="33" t="s">
        <v>144</v>
      </c>
      <c r="K33" s="33" t="s">
        <v>105</v>
      </c>
    </row>
    <row r="34" spans="1:11">
      <c r="A34" s="34" t="s">
        <v>122</v>
      </c>
      <c r="B34" s="35">
        <v>1131</v>
      </c>
      <c r="C34" s="33">
        <v>9212</v>
      </c>
      <c r="D34" s="33" t="s">
        <v>110</v>
      </c>
      <c r="E34" s="37">
        <v>4</v>
      </c>
      <c r="F34" s="37">
        <v>7</v>
      </c>
      <c r="G34" s="37">
        <f>F34-E34</f>
        <v>3</v>
      </c>
      <c r="H34" s="38">
        <f>IF(F34&gt;50,G34*0.2,G34*0.1)</f>
        <v>0.30000000000000004</v>
      </c>
      <c r="I34" s="33" t="s">
        <v>143</v>
      </c>
      <c r="J34" s="33" t="s">
        <v>144</v>
      </c>
      <c r="K34" s="33" t="s">
        <v>105</v>
      </c>
    </row>
    <row r="35" spans="1:11">
      <c r="A35" s="34" t="s">
        <v>123</v>
      </c>
      <c r="B35" s="35">
        <v>1143</v>
      </c>
      <c r="C35" s="33">
        <v>9822</v>
      </c>
      <c r="D35" s="33" t="s">
        <v>100</v>
      </c>
      <c r="E35" s="37">
        <v>58.3</v>
      </c>
      <c r="F35" s="37">
        <v>98.4</v>
      </c>
      <c r="G35" s="37">
        <f>F35-E35</f>
        <v>40.100000000000009</v>
      </c>
      <c r="H35" s="38">
        <f>IF(F35&gt;50,G35*0.2,G35*0.1)</f>
        <v>8.0200000000000014</v>
      </c>
      <c r="I35" s="33" t="s">
        <v>143</v>
      </c>
      <c r="J35" s="33" t="s">
        <v>144</v>
      </c>
      <c r="K35" s="33" t="s">
        <v>105</v>
      </c>
    </row>
    <row r="36" spans="1:11">
      <c r="A36" s="34" t="s">
        <v>99</v>
      </c>
      <c r="B36" s="35">
        <v>1003</v>
      </c>
      <c r="C36" s="33">
        <v>2499</v>
      </c>
      <c r="D36" s="33" t="s">
        <v>104</v>
      </c>
      <c r="E36" s="37">
        <v>6.2</v>
      </c>
      <c r="F36" s="37">
        <v>9.1999999999999993</v>
      </c>
      <c r="G36" s="37">
        <f>F36-E36</f>
        <v>2.9999999999999991</v>
      </c>
      <c r="H36" s="38">
        <f>IF(F36&gt;50,G36*0.2,G36*0.1)</f>
        <v>0.29999999999999993</v>
      </c>
      <c r="I36" s="33" t="s">
        <v>142</v>
      </c>
      <c r="J36" s="33" t="s">
        <v>35</v>
      </c>
      <c r="K36" s="33" t="s">
        <v>105</v>
      </c>
    </row>
    <row r="37" spans="1:11">
      <c r="A37" s="34" t="s">
        <v>99</v>
      </c>
      <c r="B37" s="35">
        <v>1005</v>
      </c>
      <c r="C37" s="33">
        <v>1109</v>
      </c>
      <c r="D37" s="33" t="s">
        <v>107</v>
      </c>
      <c r="E37" s="37">
        <v>3</v>
      </c>
      <c r="F37" s="37">
        <v>8</v>
      </c>
      <c r="G37" s="37">
        <f>F37-E37</f>
        <v>5</v>
      </c>
      <c r="H37" s="38">
        <f>IF(F37&gt;50,G37*0.2,G37*0.1)</f>
        <v>0.5</v>
      </c>
      <c r="I37" s="33" t="s">
        <v>142</v>
      </c>
      <c r="J37" s="33" t="s">
        <v>35</v>
      </c>
      <c r="K37" s="33" t="s">
        <v>105</v>
      </c>
    </row>
    <row r="38" spans="1:11">
      <c r="A38" s="34" t="s">
        <v>99</v>
      </c>
      <c r="B38" s="35">
        <v>1006</v>
      </c>
      <c r="C38" s="33">
        <v>9822</v>
      </c>
      <c r="D38" s="33" t="s">
        <v>100</v>
      </c>
      <c r="E38" s="37">
        <v>58.3</v>
      </c>
      <c r="F38" s="37">
        <v>98.4</v>
      </c>
      <c r="G38" s="37">
        <f>F38-E38</f>
        <v>40.100000000000009</v>
      </c>
      <c r="H38" s="38">
        <f>IF(F38&gt;50,G38*0.2,G38*0.1)</f>
        <v>8.0200000000000014</v>
      </c>
      <c r="I38" s="33" t="s">
        <v>142</v>
      </c>
      <c r="J38" s="33" t="s">
        <v>35</v>
      </c>
      <c r="K38" s="33" t="s">
        <v>105</v>
      </c>
    </row>
    <row r="39" spans="1:11">
      <c r="A39" s="34" t="s">
        <v>99</v>
      </c>
      <c r="B39" s="35">
        <v>1009</v>
      </c>
      <c r="C39" s="33">
        <v>1109</v>
      </c>
      <c r="D39" s="33" t="s">
        <v>107</v>
      </c>
      <c r="E39" s="37">
        <v>3</v>
      </c>
      <c r="F39" s="37">
        <v>8</v>
      </c>
      <c r="G39" s="37">
        <f>F39-E39</f>
        <v>5</v>
      </c>
      <c r="H39" s="38">
        <f>IF(F39&gt;50,G39*0.2,G39*0.1)</f>
        <v>0.5</v>
      </c>
      <c r="I39" s="33" t="s">
        <v>142</v>
      </c>
      <c r="J39" s="33" t="s">
        <v>35</v>
      </c>
      <c r="K39" s="33" t="s">
        <v>105</v>
      </c>
    </row>
    <row r="40" spans="1:11">
      <c r="A40" s="34" t="s">
        <v>118</v>
      </c>
      <c r="B40" s="35">
        <v>1052</v>
      </c>
      <c r="C40" s="33">
        <v>6622</v>
      </c>
      <c r="D40" s="33" t="s">
        <v>117</v>
      </c>
      <c r="E40" s="37">
        <v>42</v>
      </c>
      <c r="F40" s="37">
        <v>77</v>
      </c>
      <c r="G40" s="37">
        <f>F40-E40</f>
        <v>35</v>
      </c>
      <c r="H40" s="38">
        <f>IF(F40&gt;50,G40*0.2,G40*0.1)</f>
        <v>7</v>
      </c>
      <c r="I40" s="33" t="s">
        <v>142</v>
      </c>
      <c r="J40" s="33" t="s">
        <v>35</v>
      </c>
      <c r="K40" s="33" t="s">
        <v>105</v>
      </c>
    </row>
    <row r="41" spans="1:11">
      <c r="A41" s="34" t="s">
        <v>118</v>
      </c>
      <c r="B41" s="35">
        <v>1059</v>
      </c>
      <c r="C41" s="33">
        <v>2242</v>
      </c>
      <c r="D41" s="33" t="s">
        <v>112</v>
      </c>
      <c r="E41" s="37">
        <v>60</v>
      </c>
      <c r="F41" s="37">
        <v>124</v>
      </c>
      <c r="G41" s="37">
        <f>F41-E41</f>
        <v>64</v>
      </c>
      <c r="H41" s="38">
        <f>IF(F41&gt;50,G41*0.2,G41*0.1)</f>
        <v>12.8</v>
      </c>
      <c r="I41" s="33" t="s">
        <v>142</v>
      </c>
      <c r="J41" s="33" t="s">
        <v>35</v>
      </c>
      <c r="K41" s="33" t="s">
        <v>105</v>
      </c>
    </row>
    <row r="42" spans="1:11">
      <c r="A42" s="34" t="s">
        <v>119</v>
      </c>
      <c r="B42" s="35">
        <v>1069</v>
      </c>
      <c r="C42" s="33">
        <v>1109</v>
      </c>
      <c r="D42" s="33" t="s">
        <v>107</v>
      </c>
      <c r="E42" s="37">
        <v>3</v>
      </c>
      <c r="F42" s="37">
        <v>8</v>
      </c>
      <c r="G42" s="37">
        <f>F42-E42</f>
        <v>5</v>
      </c>
      <c r="H42" s="38">
        <f>IF(F42&gt;50,G42*0.2,G42*0.1)</f>
        <v>0.5</v>
      </c>
      <c r="I42" s="33" t="s">
        <v>142</v>
      </c>
      <c r="J42" s="33" t="s">
        <v>35</v>
      </c>
      <c r="K42" s="33" t="s">
        <v>105</v>
      </c>
    </row>
    <row r="43" spans="1:11">
      <c r="A43" s="34" t="s">
        <v>119</v>
      </c>
      <c r="B43" s="35">
        <v>1074</v>
      </c>
      <c r="C43" s="33">
        <v>2877</v>
      </c>
      <c r="D43" s="33" t="s">
        <v>102</v>
      </c>
      <c r="E43" s="37">
        <v>11.4</v>
      </c>
      <c r="F43" s="37">
        <v>16.3</v>
      </c>
      <c r="G43" s="37">
        <f>F43-E43</f>
        <v>4.9000000000000004</v>
      </c>
      <c r="H43" s="38">
        <f>IF(F43&gt;50,G43*0.2,G43*0.1)</f>
        <v>0.49000000000000005</v>
      </c>
      <c r="I43" s="33" t="s">
        <v>142</v>
      </c>
      <c r="J43" s="33" t="s">
        <v>35</v>
      </c>
      <c r="K43" s="33" t="s">
        <v>105</v>
      </c>
    </row>
    <row r="44" spans="1:11">
      <c r="A44" s="34" t="s">
        <v>120</v>
      </c>
      <c r="B44" s="35">
        <v>1096</v>
      </c>
      <c r="C44" s="33">
        <v>6119</v>
      </c>
      <c r="D44" s="33" t="s">
        <v>115</v>
      </c>
      <c r="E44" s="37">
        <v>9</v>
      </c>
      <c r="F44" s="37">
        <v>14</v>
      </c>
      <c r="G44" s="37">
        <f>F44-E44</f>
        <v>5</v>
      </c>
      <c r="H44" s="38">
        <f>IF(F44&gt;50,G44*0.2,G44*0.1)</f>
        <v>0.5</v>
      </c>
      <c r="I44" s="33" t="s">
        <v>142</v>
      </c>
      <c r="J44" s="33" t="s">
        <v>35</v>
      </c>
      <c r="K44" s="33" t="s">
        <v>105</v>
      </c>
    </row>
    <row r="45" spans="1:11">
      <c r="A45" s="34" t="s">
        <v>121</v>
      </c>
      <c r="B45" s="35">
        <v>1112</v>
      </c>
      <c r="C45" s="33">
        <v>6622</v>
      </c>
      <c r="D45" s="33" t="s">
        <v>117</v>
      </c>
      <c r="E45" s="37">
        <v>42</v>
      </c>
      <c r="F45" s="37">
        <v>77</v>
      </c>
      <c r="G45" s="37">
        <f>F45-E45</f>
        <v>35</v>
      </c>
      <c r="H45" s="38">
        <f>IF(F45&gt;50,G45*0.2,G45*0.1)</f>
        <v>7</v>
      </c>
      <c r="I45" s="33" t="s">
        <v>142</v>
      </c>
      <c r="J45" s="33" t="s">
        <v>35</v>
      </c>
      <c r="K45" s="33" t="s">
        <v>105</v>
      </c>
    </row>
    <row r="46" spans="1:11">
      <c r="A46" s="34" t="s">
        <v>121</v>
      </c>
      <c r="B46" s="35">
        <v>1122</v>
      </c>
      <c r="C46" s="33">
        <v>8722</v>
      </c>
      <c r="D46" s="33" t="s">
        <v>106</v>
      </c>
      <c r="E46" s="37">
        <v>344</v>
      </c>
      <c r="F46" s="37">
        <v>502</v>
      </c>
      <c r="G46" s="37">
        <f>F46-E46</f>
        <v>158</v>
      </c>
      <c r="H46" s="38">
        <f>IF(F46&gt;50,G46*0.2,G46*0.1)</f>
        <v>31.6</v>
      </c>
      <c r="I46" s="33" t="s">
        <v>142</v>
      </c>
      <c r="J46" s="33" t="s">
        <v>35</v>
      </c>
      <c r="K46" s="33" t="s">
        <v>105</v>
      </c>
    </row>
    <row r="47" spans="1:11">
      <c r="A47" s="34" t="s">
        <v>121</v>
      </c>
      <c r="B47" s="35">
        <v>1124</v>
      </c>
      <c r="C47" s="33">
        <v>4421</v>
      </c>
      <c r="D47" s="33" t="s">
        <v>109</v>
      </c>
      <c r="E47" s="37">
        <v>45</v>
      </c>
      <c r="F47" s="37">
        <v>87</v>
      </c>
      <c r="G47" s="37">
        <f>F47-E47</f>
        <v>42</v>
      </c>
      <c r="H47" s="38">
        <f>IF(F47&gt;50,G47*0.2,G47*0.1)</f>
        <v>8.4</v>
      </c>
      <c r="I47" s="33" t="s">
        <v>142</v>
      </c>
      <c r="J47" s="33" t="s">
        <v>35</v>
      </c>
      <c r="K47" s="33" t="s">
        <v>105</v>
      </c>
    </row>
    <row r="48" spans="1:11">
      <c r="A48" s="34" t="s">
        <v>122</v>
      </c>
      <c r="B48" s="35">
        <v>1134</v>
      </c>
      <c r="C48" s="33">
        <v>9822</v>
      </c>
      <c r="D48" s="33" t="s">
        <v>100</v>
      </c>
      <c r="E48" s="37">
        <v>58.3</v>
      </c>
      <c r="F48" s="37">
        <v>98.4</v>
      </c>
      <c r="G48" s="37">
        <f>F48-E48</f>
        <v>40.100000000000009</v>
      </c>
      <c r="H48" s="38">
        <f>IF(F48&gt;50,G48*0.2,G48*0.1)</f>
        <v>8.0200000000000014</v>
      </c>
      <c r="I48" s="33" t="s">
        <v>142</v>
      </c>
      <c r="J48" s="33" t="s">
        <v>35</v>
      </c>
      <c r="K48" s="33" t="s">
        <v>105</v>
      </c>
    </row>
    <row r="49" spans="1:11">
      <c r="A49" s="34" t="s">
        <v>123</v>
      </c>
      <c r="B49" s="35">
        <v>1148</v>
      </c>
      <c r="C49" s="33">
        <v>9212</v>
      </c>
      <c r="D49" s="33" t="s">
        <v>110</v>
      </c>
      <c r="E49" s="37">
        <v>4</v>
      </c>
      <c r="F49" s="37">
        <v>7</v>
      </c>
      <c r="G49" s="37">
        <f>F49-E49</f>
        <v>3</v>
      </c>
      <c r="H49" s="38">
        <f>IF(F49&gt;50,G49*0.2,G49*0.1)</f>
        <v>0.30000000000000004</v>
      </c>
      <c r="I49" s="33" t="s">
        <v>142</v>
      </c>
      <c r="J49" s="33" t="s">
        <v>35</v>
      </c>
      <c r="K49" s="33" t="s">
        <v>105</v>
      </c>
    </row>
    <row r="50" spans="1:11">
      <c r="A50" s="34" t="s">
        <v>124</v>
      </c>
      <c r="B50" s="35">
        <v>1153</v>
      </c>
      <c r="C50" s="33">
        <v>8722</v>
      </c>
      <c r="D50" s="33" t="s">
        <v>106</v>
      </c>
      <c r="E50" s="37">
        <v>344</v>
      </c>
      <c r="F50" s="37">
        <v>502</v>
      </c>
      <c r="G50" s="37">
        <f>F50-E50</f>
        <v>158</v>
      </c>
      <c r="H50" s="38">
        <f>IF(F50&gt;50,G50*0.2,G50*0.1)</f>
        <v>31.6</v>
      </c>
      <c r="I50" s="33" t="s">
        <v>142</v>
      </c>
      <c r="J50" s="33" t="s">
        <v>35</v>
      </c>
      <c r="K50" s="33" t="s">
        <v>105</v>
      </c>
    </row>
    <row r="51" spans="1:11">
      <c r="A51" s="34" t="s">
        <v>124</v>
      </c>
      <c r="B51" s="35">
        <v>1155</v>
      </c>
      <c r="C51" s="33">
        <v>4421</v>
      </c>
      <c r="D51" s="33" t="s">
        <v>109</v>
      </c>
      <c r="E51" s="37">
        <v>45</v>
      </c>
      <c r="F51" s="37">
        <v>87</v>
      </c>
      <c r="G51" s="37">
        <f>F51-E51</f>
        <v>42</v>
      </c>
      <c r="H51" s="38">
        <f>IF(F51&gt;50,G51*0.2,G51*0.1)</f>
        <v>8.4</v>
      </c>
      <c r="I51" s="33" t="s">
        <v>142</v>
      </c>
      <c r="J51" s="33" t="s">
        <v>35</v>
      </c>
      <c r="K51" s="33" t="s">
        <v>105</v>
      </c>
    </row>
    <row r="52" spans="1:11">
      <c r="A52" s="34" t="s">
        <v>125</v>
      </c>
      <c r="B52" s="35">
        <v>1164</v>
      </c>
      <c r="C52" s="33">
        <v>9822</v>
      </c>
      <c r="D52" s="33" t="s">
        <v>100</v>
      </c>
      <c r="E52" s="37">
        <v>58.3</v>
      </c>
      <c r="F52" s="37">
        <v>98.4</v>
      </c>
      <c r="G52" s="37">
        <f>F52-E52</f>
        <v>40.100000000000009</v>
      </c>
      <c r="H52" s="38">
        <f>IF(F52&gt;50,G52*0.2,G52*0.1)</f>
        <v>8.0200000000000014</v>
      </c>
      <c r="I52" s="33" t="s">
        <v>142</v>
      </c>
      <c r="J52" s="33" t="s">
        <v>35</v>
      </c>
      <c r="K52" s="33" t="s">
        <v>105</v>
      </c>
    </row>
    <row r="53" spans="1:11">
      <c r="A53" s="34" t="s">
        <v>125</v>
      </c>
      <c r="B53" s="35">
        <v>1165</v>
      </c>
      <c r="C53" s="33">
        <v>9822</v>
      </c>
      <c r="D53" s="33" t="s">
        <v>100</v>
      </c>
      <c r="E53" s="37">
        <v>58.3</v>
      </c>
      <c r="F53" s="37">
        <v>98.4</v>
      </c>
      <c r="G53" s="37">
        <f>F53-E53</f>
        <v>40.100000000000009</v>
      </c>
      <c r="H53" s="38">
        <f>IF(F53&gt;50,G53*0.2,G53*0.1)</f>
        <v>8.0200000000000014</v>
      </c>
      <c r="I53" s="33" t="s">
        <v>142</v>
      </c>
      <c r="J53" s="33" t="s">
        <v>35</v>
      </c>
      <c r="K53" s="33" t="s">
        <v>105</v>
      </c>
    </row>
    <row r="54" spans="1:11">
      <c r="A54" s="34" t="s">
        <v>99</v>
      </c>
      <c r="B54" s="35">
        <v>1014</v>
      </c>
      <c r="C54" s="33">
        <v>8722</v>
      </c>
      <c r="D54" s="33" t="s">
        <v>106</v>
      </c>
      <c r="E54" s="37">
        <v>344</v>
      </c>
      <c r="F54" s="37">
        <v>502</v>
      </c>
      <c r="G54" s="37">
        <f>F54-E54</f>
        <v>158</v>
      </c>
      <c r="H54" s="38">
        <f>IF(F54&gt;50,G54*0.2,G54*0.1)</f>
        <v>31.6</v>
      </c>
      <c r="I54" s="33" t="s">
        <v>138</v>
      </c>
      <c r="J54" s="33" t="s">
        <v>139</v>
      </c>
      <c r="K54" s="33" t="s">
        <v>103</v>
      </c>
    </row>
    <row r="55" spans="1:11">
      <c r="A55" s="34" t="s">
        <v>118</v>
      </c>
      <c r="B55" s="35">
        <v>1053</v>
      </c>
      <c r="C55" s="33">
        <v>2242</v>
      </c>
      <c r="D55" s="33" t="s">
        <v>112</v>
      </c>
      <c r="E55" s="37">
        <v>60</v>
      </c>
      <c r="F55" s="37">
        <v>124</v>
      </c>
      <c r="G55" s="37">
        <f>F55-E55</f>
        <v>64</v>
      </c>
      <c r="H55" s="38">
        <f>IF(F55&gt;50,G55*0.2,G55*0.1)</f>
        <v>12.8</v>
      </c>
      <c r="I55" s="33" t="s">
        <v>138</v>
      </c>
      <c r="J55" s="33" t="s">
        <v>139</v>
      </c>
      <c r="K55" s="33" t="s">
        <v>103</v>
      </c>
    </row>
    <row r="56" spans="1:11">
      <c r="A56" s="34" t="s">
        <v>120</v>
      </c>
      <c r="B56" s="35">
        <v>1082</v>
      </c>
      <c r="C56" s="33">
        <v>1109</v>
      </c>
      <c r="D56" s="33" t="s">
        <v>107</v>
      </c>
      <c r="E56" s="37">
        <v>3</v>
      </c>
      <c r="F56" s="37">
        <v>8</v>
      </c>
      <c r="G56" s="37">
        <f>F56-E56</f>
        <v>5</v>
      </c>
      <c r="H56" s="38">
        <f>IF(F56&gt;50,G56*0.2,G56*0.1)</f>
        <v>0.5</v>
      </c>
      <c r="I56" s="33" t="s">
        <v>138</v>
      </c>
      <c r="J56" s="33" t="s">
        <v>139</v>
      </c>
      <c r="K56" s="33" t="s">
        <v>103</v>
      </c>
    </row>
    <row r="57" spans="1:11">
      <c r="A57" s="34" t="s">
        <v>120</v>
      </c>
      <c r="B57" s="35">
        <v>1087</v>
      </c>
      <c r="C57" s="33">
        <v>2499</v>
      </c>
      <c r="D57" s="33" t="s">
        <v>104</v>
      </c>
      <c r="E57" s="37">
        <v>6.2</v>
      </c>
      <c r="F57" s="37">
        <v>9.1999999999999993</v>
      </c>
      <c r="G57" s="37">
        <f>F57-E57</f>
        <v>2.9999999999999991</v>
      </c>
      <c r="H57" s="38">
        <f>IF(F57&gt;50,G57*0.2,G57*0.1)</f>
        <v>0.29999999999999993</v>
      </c>
      <c r="I57" s="33" t="s">
        <v>138</v>
      </c>
      <c r="J57" s="33" t="s">
        <v>139</v>
      </c>
      <c r="K57" s="33" t="s">
        <v>103</v>
      </c>
    </row>
    <row r="58" spans="1:11">
      <c r="A58" s="34" t="s">
        <v>120</v>
      </c>
      <c r="B58" s="35">
        <v>1090</v>
      </c>
      <c r="C58" s="33">
        <v>2877</v>
      </c>
      <c r="D58" s="33" t="s">
        <v>102</v>
      </c>
      <c r="E58" s="37">
        <v>11.4</v>
      </c>
      <c r="F58" s="37">
        <v>16.3</v>
      </c>
      <c r="G58" s="37">
        <f>F58-E58</f>
        <v>4.9000000000000004</v>
      </c>
      <c r="H58" s="38">
        <f>IF(F58&gt;50,G58*0.2,G58*0.1)</f>
        <v>0.49000000000000005</v>
      </c>
      <c r="I58" s="33" t="s">
        <v>138</v>
      </c>
      <c r="J58" s="33" t="s">
        <v>139</v>
      </c>
      <c r="K58" s="33" t="s">
        <v>103</v>
      </c>
    </row>
    <row r="59" spans="1:11">
      <c r="A59" s="34" t="s">
        <v>121</v>
      </c>
      <c r="B59" s="35">
        <v>1113</v>
      </c>
      <c r="C59" s="33">
        <v>9822</v>
      </c>
      <c r="D59" s="33" t="s">
        <v>100</v>
      </c>
      <c r="E59" s="37">
        <v>58.3</v>
      </c>
      <c r="F59" s="37">
        <v>98.4</v>
      </c>
      <c r="G59" s="37">
        <f>F59-E59</f>
        <v>40.100000000000009</v>
      </c>
      <c r="H59" s="38">
        <f>IF(F59&gt;50,G59*0.2,G59*0.1)</f>
        <v>8.0200000000000014</v>
      </c>
      <c r="I59" s="33" t="s">
        <v>138</v>
      </c>
      <c r="J59" s="33" t="s">
        <v>139</v>
      </c>
      <c r="K59" s="33" t="s">
        <v>103</v>
      </c>
    </row>
    <row r="60" spans="1:11">
      <c r="A60" s="34" t="s">
        <v>123</v>
      </c>
      <c r="B60" s="35">
        <v>1147</v>
      </c>
      <c r="C60" s="33">
        <v>9822</v>
      </c>
      <c r="D60" s="33" t="s">
        <v>100</v>
      </c>
      <c r="E60" s="37">
        <v>58.3</v>
      </c>
      <c r="F60" s="37">
        <v>98.4</v>
      </c>
      <c r="G60" s="37">
        <f>F60-E60</f>
        <v>40.100000000000009</v>
      </c>
      <c r="H60" s="38">
        <f>IF(F60&gt;50,G60*0.2,G60*0.1)</f>
        <v>8.0200000000000014</v>
      </c>
      <c r="I60" s="33" t="s">
        <v>138</v>
      </c>
      <c r="J60" s="33" t="s">
        <v>139</v>
      </c>
      <c r="K60" s="33" t="s">
        <v>103</v>
      </c>
    </row>
    <row r="61" spans="1:11">
      <c r="A61" s="34" t="s">
        <v>126</v>
      </c>
      <c r="B61" s="35">
        <v>1170</v>
      </c>
      <c r="C61" s="33">
        <v>4421</v>
      </c>
      <c r="D61" s="33" t="s">
        <v>109</v>
      </c>
      <c r="E61" s="37">
        <v>45</v>
      </c>
      <c r="F61" s="37">
        <v>87</v>
      </c>
      <c r="G61" s="37">
        <f>F61-E61</f>
        <v>42</v>
      </c>
      <c r="H61" s="38">
        <f>IF(F61&gt;50,G61*0.2,G61*0.1)</f>
        <v>8.4</v>
      </c>
      <c r="I61" s="33" t="s">
        <v>138</v>
      </c>
      <c r="J61" s="33" t="s">
        <v>139</v>
      </c>
      <c r="K61" s="33" t="s">
        <v>103</v>
      </c>
    </row>
    <row r="62" spans="1:11">
      <c r="A62" s="34" t="s">
        <v>99</v>
      </c>
      <c r="B62" s="35">
        <v>1002</v>
      </c>
      <c r="C62" s="33">
        <v>2877</v>
      </c>
      <c r="D62" s="33" t="s">
        <v>102</v>
      </c>
      <c r="E62" s="37">
        <v>11.4</v>
      </c>
      <c r="F62" s="37">
        <v>16.3</v>
      </c>
      <c r="G62" s="37">
        <f>F62-E62</f>
        <v>4.9000000000000004</v>
      </c>
      <c r="H62" s="38">
        <f>IF(F62&gt;50,G62*0.2,G62*0.1)</f>
        <v>0.49000000000000005</v>
      </c>
      <c r="I62" s="33" t="s">
        <v>140</v>
      </c>
      <c r="J62" s="33" t="s">
        <v>141</v>
      </c>
      <c r="K62" s="33" t="s">
        <v>103</v>
      </c>
    </row>
    <row r="63" spans="1:11">
      <c r="A63" s="34" t="s">
        <v>111</v>
      </c>
      <c r="B63" s="35">
        <v>1031</v>
      </c>
      <c r="C63" s="33">
        <v>1109</v>
      </c>
      <c r="D63" s="33" t="s">
        <v>107</v>
      </c>
      <c r="E63" s="37">
        <v>3</v>
      </c>
      <c r="F63" s="37">
        <v>8</v>
      </c>
      <c r="G63" s="37">
        <f>F63-E63</f>
        <v>5</v>
      </c>
      <c r="H63" s="38">
        <f>IF(F63&gt;50,G63*0.2,G63*0.1)</f>
        <v>0.5</v>
      </c>
      <c r="I63" s="33" t="s">
        <v>140</v>
      </c>
      <c r="J63" s="33" t="s">
        <v>141</v>
      </c>
      <c r="K63" s="33" t="s">
        <v>103</v>
      </c>
    </row>
    <row r="64" spans="1:11">
      <c r="A64" s="34" t="s">
        <v>111</v>
      </c>
      <c r="B64" s="35">
        <v>1033</v>
      </c>
      <c r="C64" s="33">
        <v>9822</v>
      </c>
      <c r="D64" s="33" t="s">
        <v>100</v>
      </c>
      <c r="E64" s="37">
        <v>58.3</v>
      </c>
      <c r="F64" s="37">
        <v>98.4</v>
      </c>
      <c r="G64" s="37">
        <f>F64-E64</f>
        <v>40.100000000000009</v>
      </c>
      <c r="H64" s="38">
        <f>IF(F64&gt;50,G64*0.2,G64*0.1)</f>
        <v>8.0200000000000014</v>
      </c>
      <c r="I64" s="33" t="s">
        <v>140</v>
      </c>
      <c r="J64" s="33" t="s">
        <v>141</v>
      </c>
      <c r="K64" s="33" t="s">
        <v>103</v>
      </c>
    </row>
    <row r="65" spans="1:11">
      <c r="A65" s="34" t="s">
        <v>116</v>
      </c>
      <c r="B65" s="35">
        <v>1039</v>
      </c>
      <c r="C65" s="33">
        <v>2877</v>
      </c>
      <c r="D65" s="33" t="s">
        <v>102</v>
      </c>
      <c r="E65" s="37">
        <v>11.4</v>
      </c>
      <c r="F65" s="37">
        <v>16.3</v>
      </c>
      <c r="G65" s="37">
        <f>F65-E65</f>
        <v>4.9000000000000004</v>
      </c>
      <c r="H65" s="38">
        <f>IF(F65&gt;50,G65*0.2,G65*0.1)</f>
        <v>0.49000000000000005</v>
      </c>
      <c r="I65" s="33" t="s">
        <v>140</v>
      </c>
      <c r="J65" s="33" t="s">
        <v>141</v>
      </c>
      <c r="K65" s="33" t="s">
        <v>103</v>
      </c>
    </row>
    <row r="66" spans="1:11">
      <c r="A66" s="34" t="s">
        <v>118</v>
      </c>
      <c r="B66" s="35">
        <v>1057</v>
      </c>
      <c r="C66" s="33">
        <v>2499</v>
      </c>
      <c r="D66" s="33" t="s">
        <v>104</v>
      </c>
      <c r="E66" s="37">
        <v>6.2</v>
      </c>
      <c r="F66" s="37">
        <v>9.1999999999999993</v>
      </c>
      <c r="G66" s="37">
        <f>F66-E66</f>
        <v>2.9999999999999991</v>
      </c>
      <c r="H66" s="38">
        <f>IF(F66&gt;50,G66*0.2,G66*0.1)</f>
        <v>0.29999999999999993</v>
      </c>
      <c r="I66" s="33" t="s">
        <v>140</v>
      </c>
      <c r="J66" s="33" t="s">
        <v>141</v>
      </c>
      <c r="K66" s="33" t="s">
        <v>103</v>
      </c>
    </row>
    <row r="67" spans="1:11">
      <c r="A67" s="34" t="s">
        <v>119</v>
      </c>
      <c r="B67" s="35">
        <v>1068</v>
      </c>
      <c r="C67" s="33">
        <v>6119</v>
      </c>
      <c r="D67" s="33" t="s">
        <v>115</v>
      </c>
      <c r="E67" s="37">
        <v>9</v>
      </c>
      <c r="F67" s="37">
        <v>14</v>
      </c>
      <c r="G67" s="37">
        <f>F67-E67</f>
        <v>5</v>
      </c>
      <c r="H67" s="38">
        <f>IF(F67&gt;50,G67*0.2,G67*0.1)</f>
        <v>0.5</v>
      </c>
      <c r="I67" s="33" t="s">
        <v>140</v>
      </c>
      <c r="J67" s="33" t="s">
        <v>141</v>
      </c>
      <c r="K67" s="33" t="s">
        <v>103</v>
      </c>
    </row>
    <row r="68" spans="1:11">
      <c r="A68" s="34" t="s">
        <v>121</v>
      </c>
      <c r="B68" s="35">
        <v>1106</v>
      </c>
      <c r="C68" s="33">
        <v>9822</v>
      </c>
      <c r="D68" s="33" t="s">
        <v>100</v>
      </c>
      <c r="E68" s="37">
        <v>58.3</v>
      </c>
      <c r="F68" s="37">
        <v>98.4</v>
      </c>
      <c r="G68" s="37">
        <f>F68-E68</f>
        <v>40.100000000000009</v>
      </c>
      <c r="H68" s="38">
        <f>IF(F68&gt;50,G68*0.2,G68*0.1)</f>
        <v>8.0200000000000014</v>
      </c>
      <c r="I68" s="33" t="s">
        <v>140</v>
      </c>
      <c r="J68" s="33" t="s">
        <v>141</v>
      </c>
      <c r="K68" s="33" t="s">
        <v>103</v>
      </c>
    </row>
    <row r="69" spans="1:11">
      <c r="A69" s="34" t="s">
        <v>121</v>
      </c>
      <c r="B69" s="35">
        <v>1109</v>
      </c>
      <c r="C69" s="33">
        <v>8722</v>
      </c>
      <c r="D69" s="33" t="s">
        <v>106</v>
      </c>
      <c r="E69" s="37">
        <v>344</v>
      </c>
      <c r="F69" s="37">
        <v>502</v>
      </c>
      <c r="G69" s="37">
        <f>F69-E69</f>
        <v>158</v>
      </c>
      <c r="H69" s="38">
        <f>IF(F69&gt;50,G69*0.2,G69*0.1)</f>
        <v>31.6</v>
      </c>
      <c r="I69" s="33" t="s">
        <v>140</v>
      </c>
      <c r="J69" s="33" t="s">
        <v>141</v>
      </c>
      <c r="K69" s="33" t="s">
        <v>103</v>
      </c>
    </row>
    <row r="70" spans="1:11">
      <c r="A70" s="34" t="s">
        <v>121</v>
      </c>
      <c r="B70" s="35">
        <v>1118</v>
      </c>
      <c r="C70" s="33">
        <v>9822</v>
      </c>
      <c r="D70" s="33" t="s">
        <v>100</v>
      </c>
      <c r="E70" s="37">
        <v>58.3</v>
      </c>
      <c r="F70" s="37">
        <v>98.4</v>
      </c>
      <c r="G70" s="37">
        <f>F70-E70</f>
        <v>40.100000000000009</v>
      </c>
      <c r="H70" s="38">
        <f>IF(F70&gt;50,G70*0.2,G70*0.1)</f>
        <v>8.0200000000000014</v>
      </c>
      <c r="I70" s="33" t="s">
        <v>140</v>
      </c>
      <c r="J70" s="33" t="s">
        <v>141</v>
      </c>
      <c r="K70" s="33" t="s">
        <v>103</v>
      </c>
    </row>
    <row r="71" spans="1:11">
      <c r="A71" s="34" t="s">
        <v>122</v>
      </c>
      <c r="B71" s="35">
        <v>1128</v>
      </c>
      <c r="C71" s="33">
        <v>6622</v>
      </c>
      <c r="D71" s="33" t="s">
        <v>117</v>
      </c>
      <c r="E71" s="37">
        <v>42</v>
      </c>
      <c r="F71" s="37">
        <v>77</v>
      </c>
      <c r="G71" s="37">
        <f>F71-E71</f>
        <v>35</v>
      </c>
      <c r="H71" s="38">
        <f>IF(F71&gt;50,G71*0.2,G71*0.1)</f>
        <v>7</v>
      </c>
      <c r="I71" s="33" t="s">
        <v>140</v>
      </c>
      <c r="J71" s="33" t="s">
        <v>141</v>
      </c>
      <c r="K71" s="33" t="s">
        <v>103</v>
      </c>
    </row>
    <row r="72" spans="1:11">
      <c r="A72" s="34" t="s">
        <v>122</v>
      </c>
      <c r="B72" s="35">
        <v>1137</v>
      </c>
      <c r="C72" s="33">
        <v>9822</v>
      </c>
      <c r="D72" s="33" t="s">
        <v>100</v>
      </c>
      <c r="E72" s="37">
        <v>58.3</v>
      </c>
      <c r="F72" s="37">
        <v>98.4</v>
      </c>
      <c r="G72" s="37">
        <f>F72-E72</f>
        <v>40.100000000000009</v>
      </c>
      <c r="H72" s="38">
        <f>IF(F72&gt;50,G72*0.2,G72*0.1)</f>
        <v>8.0200000000000014</v>
      </c>
      <c r="I72" s="33" t="s">
        <v>140</v>
      </c>
      <c r="J72" s="33" t="s">
        <v>141</v>
      </c>
      <c r="K72" s="33" t="s">
        <v>103</v>
      </c>
    </row>
    <row r="73" spans="1:11">
      <c r="A73" s="34" t="s">
        <v>124</v>
      </c>
      <c r="B73" s="35">
        <v>1151</v>
      </c>
      <c r="C73" s="33">
        <v>2242</v>
      </c>
      <c r="D73" s="33" t="s">
        <v>112</v>
      </c>
      <c r="E73" s="37">
        <v>60</v>
      </c>
      <c r="F73" s="37">
        <v>124</v>
      </c>
      <c r="G73" s="37">
        <f>F73-E73</f>
        <v>64</v>
      </c>
      <c r="H73" s="38">
        <f>IF(F73&gt;50,G73*0.2,G73*0.1)</f>
        <v>12.8</v>
      </c>
      <c r="I73" s="33" t="s">
        <v>140</v>
      </c>
      <c r="J73" s="33" t="s">
        <v>141</v>
      </c>
      <c r="K73" s="33" t="s">
        <v>103</v>
      </c>
    </row>
    <row r="74" spans="1:11">
      <c r="A74" s="34" t="s">
        <v>125</v>
      </c>
      <c r="B74" s="35">
        <v>1161</v>
      </c>
      <c r="C74" s="33">
        <v>4421</v>
      </c>
      <c r="D74" s="33" t="s">
        <v>109</v>
      </c>
      <c r="E74" s="37">
        <v>45</v>
      </c>
      <c r="F74" s="37">
        <v>87</v>
      </c>
      <c r="G74" s="37">
        <f>F74-E74</f>
        <v>42</v>
      </c>
      <c r="H74" s="38">
        <f>IF(F74&gt;50,G74*0.2,G74*0.1)</f>
        <v>8.4</v>
      </c>
      <c r="I74" s="33" t="s">
        <v>140</v>
      </c>
      <c r="J74" s="33" t="s">
        <v>141</v>
      </c>
      <c r="K74" s="33" t="s">
        <v>103</v>
      </c>
    </row>
    <row r="75" spans="1:11">
      <c r="A75" s="34" t="s">
        <v>116</v>
      </c>
      <c r="B75" s="35">
        <v>1035</v>
      </c>
      <c r="C75" s="33">
        <v>2499</v>
      </c>
      <c r="D75" s="33" t="s">
        <v>104</v>
      </c>
      <c r="E75" s="37">
        <v>6.2</v>
      </c>
      <c r="F75" s="37">
        <v>9.1999999999999993</v>
      </c>
      <c r="G75" s="37">
        <f>F75-E75</f>
        <v>2.9999999999999991</v>
      </c>
      <c r="H75" s="38">
        <f>IF(F75&gt;50,G75*0.2,G75*0.1)</f>
        <v>0.29999999999999993</v>
      </c>
      <c r="I75" s="33" t="s">
        <v>143</v>
      </c>
      <c r="J75" s="33" t="s">
        <v>144</v>
      </c>
      <c r="K75" s="33" t="s">
        <v>103</v>
      </c>
    </row>
    <row r="76" spans="1:11">
      <c r="A76" s="34" t="s">
        <v>119</v>
      </c>
      <c r="B76" s="35">
        <v>1075</v>
      </c>
      <c r="C76" s="33">
        <v>1109</v>
      </c>
      <c r="D76" s="33" t="s">
        <v>107</v>
      </c>
      <c r="E76" s="37">
        <v>3</v>
      </c>
      <c r="F76" s="37">
        <v>8</v>
      </c>
      <c r="G76" s="37">
        <f>F76-E76</f>
        <v>5</v>
      </c>
      <c r="H76" s="38">
        <f>IF(F76&gt;50,G76*0.2,G76*0.1)</f>
        <v>0.5</v>
      </c>
      <c r="I76" s="33" t="s">
        <v>143</v>
      </c>
      <c r="J76" s="33" t="s">
        <v>144</v>
      </c>
      <c r="K76" s="33" t="s">
        <v>103</v>
      </c>
    </row>
    <row r="77" spans="1:11">
      <c r="A77" s="34" t="s">
        <v>121</v>
      </c>
      <c r="B77" s="35">
        <v>1111</v>
      </c>
      <c r="C77" s="33">
        <v>6622</v>
      </c>
      <c r="D77" s="33" t="s">
        <v>117</v>
      </c>
      <c r="E77" s="37">
        <v>42</v>
      </c>
      <c r="F77" s="37">
        <v>77</v>
      </c>
      <c r="G77" s="37">
        <f>F77-E77</f>
        <v>35</v>
      </c>
      <c r="H77" s="38">
        <f>IF(F77&gt;50,G77*0.2,G77*0.1)</f>
        <v>7</v>
      </c>
      <c r="I77" s="33" t="s">
        <v>143</v>
      </c>
      <c r="J77" s="33" t="s">
        <v>144</v>
      </c>
      <c r="K77" s="33" t="s">
        <v>103</v>
      </c>
    </row>
    <row r="78" spans="1:11">
      <c r="A78" s="34" t="s">
        <v>122</v>
      </c>
      <c r="B78" s="35">
        <v>1130</v>
      </c>
      <c r="C78" s="33">
        <v>4421</v>
      </c>
      <c r="D78" s="33" t="s">
        <v>109</v>
      </c>
      <c r="E78" s="37">
        <v>45</v>
      </c>
      <c r="F78" s="37">
        <v>87</v>
      </c>
      <c r="G78" s="37">
        <f>F78-E78</f>
        <v>42</v>
      </c>
      <c r="H78" s="38">
        <f>IF(F78&gt;50,G78*0.2,G78*0.1)</f>
        <v>8.4</v>
      </c>
      <c r="I78" s="33" t="s">
        <v>143</v>
      </c>
      <c r="J78" s="33" t="s">
        <v>144</v>
      </c>
      <c r="K78" s="33" t="s">
        <v>103</v>
      </c>
    </row>
    <row r="79" spans="1:11">
      <c r="A79" s="34" t="s">
        <v>122</v>
      </c>
      <c r="B79" s="35">
        <v>1132</v>
      </c>
      <c r="C79" s="33">
        <v>9212</v>
      </c>
      <c r="D79" s="33" t="s">
        <v>110</v>
      </c>
      <c r="E79" s="37">
        <v>4</v>
      </c>
      <c r="F79" s="37">
        <v>7</v>
      </c>
      <c r="G79" s="37">
        <f>F79-E79</f>
        <v>3</v>
      </c>
      <c r="H79" s="38">
        <f>IF(F79&gt;50,G79*0.2,G79*0.1)</f>
        <v>0.30000000000000004</v>
      </c>
      <c r="I79" s="33" t="s">
        <v>143</v>
      </c>
      <c r="J79" s="33" t="s">
        <v>144</v>
      </c>
      <c r="K79" s="33" t="s">
        <v>103</v>
      </c>
    </row>
    <row r="80" spans="1:11">
      <c r="A80" s="34" t="s">
        <v>123</v>
      </c>
      <c r="B80" s="35">
        <v>1144</v>
      </c>
      <c r="C80" s="33">
        <v>2242</v>
      </c>
      <c r="D80" s="33" t="s">
        <v>112</v>
      </c>
      <c r="E80" s="37">
        <v>60</v>
      </c>
      <c r="F80" s="37">
        <v>124</v>
      </c>
      <c r="G80" s="37">
        <f>F80-E80</f>
        <v>64</v>
      </c>
      <c r="H80" s="38">
        <f>IF(F80&gt;50,G80*0.2,G80*0.1)</f>
        <v>12.8</v>
      </c>
      <c r="I80" s="33" t="s">
        <v>143</v>
      </c>
      <c r="J80" s="33" t="s">
        <v>144</v>
      </c>
      <c r="K80" s="33" t="s">
        <v>103</v>
      </c>
    </row>
    <row r="81" spans="1:11">
      <c r="A81" s="34" t="s">
        <v>99</v>
      </c>
      <c r="B81" s="35">
        <v>1016</v>
      </c>
      <c r="C81" s="33">
        <v>2499</v>
      </c>
      <c r="D81" s="33" t="s">
        <v>104</v>
      </c>
      <c r="E81" s="37">
        <v>6.2</v>
      </c>
      <c r="F81" s="37">
        <v>9.1999999999999993</v>
      </c>
      <c r="G81" s="37">
        <f>F81-E81</f>
        <v>2.9999999999999991</v>
      </c>
      <c r="H81" s="38">
        <f>IF(F81&gt;50,G81*0.2,G81*0.1)</f>
        <v>0.29999999999999993</v>
      </c>
      <c r="I81" s="33" t="s">
        <v>142</v>
      </c>
      <c r="J81" s="33" t="s">
        <v>35</v>
      </c>
      <c r="K81" s="33" t="s">
        <v>103</v>
      </c>
    </row>
    <row r="82" spans="1:11">
      <c r="A82" s="34" t="s">
        <v>111</v>
      </c>
      <c r="B82" s="35">
        <v>1018</v>
      </c>
      <c r="C82" s="33">
        <v>1109</v>
      </c>
      <c r="D82" s="33" t="s">
        <v>107</v>
      </c>
      <c r="E82" s="37">
        <v>3</v>
      </c>
      <c r="F82" s="37">
        <v>8</v>
      </c>
      <c r="G82" s="37">
        <f>F82-E82</f>
        <v>5</v>
      </c>
      <c r="H82" s="38">
        <f>IF(F82&gt;50,G82*0.2,G82*0.1)</f>
        <v>0.5</v>
      </c>
      <c r="I82" s="33" t="s">
        <v>142</v>
      </c>
      <c r="J82" s="33" t="s">
        <v>35</v>
      </c>
      <c r="K82" s="33" t="s">
        <v>103</v>
      </c>
    </row>
    <row r="83" spans="1:11">
      <c r="A83" s="34" t="s">
        <v>116</v>
      </c>
      <c r="B83" s="35">
        <v>1043</v>
      </c>
      <c r="C83" s="33">
        <v>2242</v>
      </c>
      <c r="D83" s="33" t="s">
        <v>112</v>
      </c>
      <c r="E83" s="37">
        <v>60</v>
      </c>
      <c r="F83" s="37">
        <v>124</v>
      </c>
      <c r="G83" s="37">
        <f>F83-E83</f>
        <v>64</v>
      </c>
      <c r="H83" s="38">
        <f>IF(F83&gt;50,G83*0.2,G83*0.1)</f>
        <v>12.8</v>
      </c>
      <c r="I83" s="33" t="s">
        <v>142</v>
      </c>
      <c r="J83" s="33" t="s">
        <v>35</v>
      </c>
      <c r="K83" s="33" t="s">
        <v>103</v>
      </c>
    </row>
    <row r="84" spans="1:11">
      <c r="A84" s="34" t="s">
        <v>116</v>
      </c>
      <c r="B84" s="35">
        <v>1044</v>
      </c>
      <c r="C84" s="33">
        <v>2877</v>
      </c>
      <c r="D84" s="33" t="s">
        <v>102</v>
      </c>
      <c r="E84" s="37">
        <v>11.4</v>
      </c>
      <c r="F84" s="37">
        <v>16.3</v>
      </c>
      <c r="G84" s="37">
        <f>F84-E84</f>
        <v>4.9000000000000004</v>
      </c>
      <c r="H84" s="38">
        <f>IF(F84&gt;50,G84*0.2,G84*0.1)</f>
        <v>0.49000000000000005</v>
      </c>
      <c r="I84" s="33" t="s">
        <v>142</v>
      </c>
      <c r="J84" s="33" t="s">
        <v>35</v>
      </c>
      <c r="K84" s="33" t="s">
        <v>103</v>
      </c>
    </row>
    <row r="85" spans="1:11">
      <c r="A85" s="34" t="s">
        <v>118</v>
      </c>
      <c r="B85" s="35">
        <v>1056</v>
      </c>
      <c r="C85" s="33">
        <v>1109</v>
      </c>
      <c r="D85" s="33" t="s">
        <v>107</v>
      </c>
      <c r="E85" s="37">
        <v>3</v>
      </c>
      <c r="F85" s="37">
        <v>8</v>
      </c>
      <c r="G85" s="37">
        <f>F85-E85</f>
        <v>5</v>
      </c>
      <c r="H85" s="38">
        <f>IF(F85&gt;50,G85*0.2,G85*0.1)</f>
        <v>0.5</v>
      </c>
      <c r="I85" s="33" t="s">
        <v>142</v>
      </c>
      <c r="J85" s="33" t="s">
        <v>35</v>
      </c>
      <c r="K85" s="33" t="s">
        <v>103</v>
      </c>
    </row>
    <row r="86" spans="1:11">
      <c r="A86" s="34" t="s">
        <v>119</v>
      </c>
      <c r="B86" s="35">
        <v>1063</v>
      </c>
      <c r="C86" s="33">
        <v>1109</v>
      </c>
      <c r="D86" s="33" t="s">
        <v>107</v>
      </c>
      <c r="E86" s="37">
        <v>3</v>
      </c>
      <c r="F86" s="37">
        <v>8</v>
      </c>
      <c r="G86" s="37">
        <f>F86-E86</f>
        <v>5</v>
      </c>
      <c r="H86" s="38">
        <f>IF(F86&gt;50,G86*0.2,G86*0.1)</f>
        <v>0.5</v>
      </c>
      <c r="I86" s="33" t="s">
        <v>142</v>
      </c>
      <c r="J86" s="33" t="s">
        <v>35</v>
      </c>
      <c r="K86" s="33" t="s">
        <v>103</v>
      </c>
    </row>
    <row r="87" spans="1:11">
      <c r="A87" s="34" t="s">
        <v>119</v>
      </c>
      <c r="B87" s="35">
        <v>1073</v>
      </c>
      <c r="C87" s="33">
        <v>6622</v>
      </c>
      <c r="D87" s="33" t="s">
        <v>117</v>
      </c>
      <c r="E87" s="37">
        <v>42</v>
      </c>
      <c r="F87" s="37">
        <v>77</v>
      </c>
      <c r="G87" s="37">
        <f>F87-E87</f>
        <v>35</v>
      </c>
      <c r="H87" s="38">
        <f>IF(F87&gt;50,G87*0.2,G87*0.1)</f>
        <v>7</v>
      </c>
      <c r="I87" s="33" t="s">
        <v>142</v>
      </c>
      <c r="J87" s="33" t="s">
        <v>35</v>
      </c>
      <c r="K87" s="33" t="s">
        <v>103</v>
      </c>
    </row>
    <row r="88" spans="1:11">
      <c r="A88" s="34" t="s">
        <v>120</v>
      </c>
      <c r="B88" s="35">
        <v>1080</v>
      </c>
      <c r="C88" s="33">
        <v>4421</v>
      </c>
      <c r="D88" s="33" t="s">
        <v>109</v>
      </c>
      <c r="E88" s="37">
        <v>45</v>
      </c>
      <c r="F88" s="37">
        <v>87</v>
      </c>
      <c r="G88" s="37">
        <f>F88-E88</f>
        <v>42</v>
      </c>
      <c r="H88" s="38">
        <f>IF(F88&gt;50,G88*0.2,G88*0.1)</f>
        <v>8.4</v>
      </c>
      <c r="I88" s="33" t="s">
        <v>142</v>
      </c>
      <c r="J88" s="33" t="s">
        <v>35</v>
      </c>
      <c r="K88" s="33" t="s">
        <v>103</v>
      </c>
    </row>
    <row r="89" spans="1:11">
      <c r="A89" s="34" t="s">
        <v>120</v>
      </c>
      <c r="B89" s="35">
        <v>1092</v>
      </c>
      <c r="C89" s="33">
        <v>2877</v>
      </c>
      <c r="D89" s="33" t="s">
        <v>102</v>
      </c>
      <c r="E89" s="37">
        <v>11.4</v>
      </c>
      <c r="F89" s="37">
        <v>16.3</v>
      </c>
      <c r="G89" s="37">
        <f>F89-E89</f>
        <v>4.9000000000000004</v>
      </c>
      <c r="H89" s="38">
        <f>IF(F89&gt;50,G89*0.2,G89*0.1)</f>
        <v>0.49000000000000005</v>
      </c>
      <c r="I89" s="33" t="s">
        <v>142</v>
      </c>
      <c r="J89" s="33" t="s">
        <v>35</v>
      </c>
      <c r="K89" s="33" t="s">
        <v>103</v>
      </c>
    </row>
    <row r="90" spans="1:11">
      <c r="A90" s="34" t="s">
        <v>120</v>
      </c>
      <c r="B90" s="35">
        <v>1094</v>
      </c>
      <c r="C90" s="33">
        <v>6119</v>
      </c>
      <c r="D90" s="33" t="s">
        <v>115</v>
      </c>
      <c r="E90" s="37">
        <v>9</v>
      </c>
      <c r="F90" s="37">
        <v>14</v>
      </c>
      <c r="G90" s="37">
        <f>F90-E90</f>
        <v>5</v>
      </c>
      <c r="H90" s="38">
        <f>IF(F90&gt;50,G90*0.2,G90*0.1)</f>
        <v>0.5</v>
      </c>
      <c r="I90" s="33" t="s">
        <v>142</v>
      </c>
      <c r="J90" s="33" t="s">
        <v>35</v>
      </c>
      <c r="K90" s="33" t="s">
        <v>103</v>
      </c>
    </row>
    <row r="91" spans="1:11">
      <c r="A91" s="34" t="s">
        <v>121</v>
      </c>
      <c r="B91" s="35">
        <v>1099</v>
      </c>
      <c r="C91" s="33">
        <v>2877</v>
      </c>
      <c r="D91" s="33" t="s">
        <v>102</v>
      </c>
      <c r="E91" s="37">
        <v>11.4</v>
      </c>
      <c r="F91" s="37">
        <v>16.3</v>
      </c>
      <c r="G91" s="37">
        <f>F91-E91</f>
        <v>4.9000000000000004</v>
      </c>
      <c r="H91" s="38">
        <f>IF(F91&gt;50,G91*0.2,G91*0.1)</f>
        <v>0.49000000000000005</v>
      </c>
      <c r="I91" s="33" t="s">
        <v>142</v>
      </c>
      <c r="J91" s="33" t="s">
        <v>35</v>
      </c>
      <c r="K91" s="33" t="s">
        <v>103</v>
      </c>
    </row>
    <row r="92" spans="1:11">
      <c r="A92" s="34" t="s">
        <v>121</v>
      </c>
      <c r="B92" s="35">
        <v>1101</v>
      </c>
      <c r="C92" s="33">
        <v>2499</v>
      </c>
      <c r="D92" s="33" t="s">
        <v>104</v>
      </c>
      <c r="E92" s="37">
        <v>6.2</v>
      </c>
      <c r="F92" s="37">
        <v>9.1999999999999993</v>
      </c>
      <c r="G92" s="37">
        <f>F92-E92</f>
        <v>2.9999999999999991</v>
      </c>
      <c r="H92" s="38">
        <f>IF(F92&gt;50,G92*0.2,G92*0.1)</f>
        <v>0.29999999999999993</v>
      </c>
      <c r="I92" s="33" t="s">
        <v>142</v>
      </c>
      <c r="J92" s="33" t="s">
        <v>35</v>
      </c>
      <c r="K92" s="33" t="s">
        <v>103</v>
      </c>
    </row>
    <row r="93" spans="1:11">
      <c r="A93" s="34" t="s">
        <v>121</v>
      </c>
      <c r="B93" s="35">
        <v>1120</v>
      </c>
      <c r="C93" s="33">
        <v>2242</v>
      </c>
      <c r="D93" s="33" t="s">
        <v>112</v>
      </c>
      <c r="E93" s="37">
        <v>60</v>
      </c>
      <c r="F93" s="37">
        <v>124</v>
      </c>
      <c r="G93" s="37">
        <f>F93-E93</f>
        <v>64</v>
      </c>
      <c r="H93" s="38">
        <f>IF(F93&gt;50,G93*0.2,G93*0.1)</f>
        <v>12.8</v>
      </c>
      <c r="I93" s="33" t="s">
        <v>142</v>
      </c>
      <c r="J93" s="33" t="s">
        <v>35</v>
      </c>
      <c r="K93" s="33" t="s">
        <v>103</v>
      </c>
    </row>
    <row r="94" spans="1:11">
      <c r="A94" s="34" t="s">
        <v>122</v>
      </c>
      <c r="B94" s="35">
        <v>1125</v>
      </c>
      <c r="C94" s="33">
        <v>2242</v>
      </c>
      <c r="D94" s="33" t="s">
        <v>112</v>
      </c>
      <c r="E94" s="37">
        <v>60</v>
      </c>
      <c r="F94" s="37">
        <v>124</v>
      </c>
      <c r="G94" s="37">
        <f>F94-E94</f>
        <v>64</v>
      </c>
      <c r="H94" s="38">
        <f>IF(F94&gt;50,G94*0.2,G94*0.1)</f>
        <v>12.8</v>
      </c>
      <c r="I94" s="33" t="s">
        <v>142</v>
      </c>
      <c r="J94" s="33" t="s">
        <v>35</v>
      </c>
      <c r="K94" s="33" t="s">
        <v>103</v>
      </c>
    </row>
    <row r="95" spans="1:11">
      <c r="A95" s="34" t="s">
        <v>122</v>
      </c>
      <c r="B95" s="35">
        <v>1139</v>
      </c>
      <c r="C95" s="33">
        <v>4421</v>
      </c>
      <c r="D95" s="33" t="s">
        <v>109</v>
      </c>
      <c r="E95" s="37">
        <v>45</v>
      </c>
      <c r="F95" s="37">
        <v>87</v>
      </c>
      <c r="G95" s="37">
        <f>F95-E95</f>
        <v>42</v>
      </c>
      <c r="H95" s="38">
        <f>IF(F95&gt;50,G95*0.2,G95*0.1)</f>
        <v>8.4</v>
      </c>
      <c r="I95" s="33" t="s">
        <v>142</v>
      </c>
      <c r="J95" s="33" t="s">
        <v>35</v>
      </c>
      <c r="K95" s="33" t="s">
        <v>103</v>
      </c>
    </row>
    <row r="96" spans="1:11">
      <c r="A96" s="34" t="s">
        <v>124</v>
      </c>
      <c r="B96" s="35">
        <v>1156</v>
      </c>
      <c r="C96" s="33">
        <v>2242</v>
      </c>
      <c r="D96" s="33" t="s">
        <v>112</v>
      </c>
      <c r="E96" s="37">
        <v>60</v>
      </c>
      <c r="F96" s="37">
        <v>124</v>
      </c>
      <c r="G96" s="37">
        <f>F96-E96</f>
        <v>64</v>
      </c>
      <c r="H96" s="38">
        <f>IF(F96&gt;50,G96*0.2,G96*0.1)</f>
        <v>12.8</v>
      </c>
      <c r="I96" s="33" t="s">
        <v>142</v>
      </c>
      <c r="J96" s="33" t="s">
        <v>35</v>
      </c>
      <c r="K96" s="33" t="s">
        <v>103</v>
      </c>
    </row>
    <row r="97" spans="1:11">
      <c r="A97" s="34" t="s">
        <v>125</v>
      </c>
      <c r="B97" s="35">
        <v>1159</v>
      </c>
      <c r="C97" s="33">
        <v>6622</v>
      </c>
      <c r="D97" s="33" t="s">
        <v>117</v>
      </c>
      <c r="E97" s="37">
        <v>42</v>
      </c>
      <c r="F97" s="37">
        <v>77</v>
      </c>
      <c r="G97" s="37">
        <f>F97-E97</f>
        <v>35</v>
      </c>
      <c r="H97" s="38">
        <f>IF(F97&gt;50,G97*0.2,G97*0.1)</f>
        <v>7</v>
      </c>
      <c r="I97" s="33" t="s">
        <v>142</v>
      </c>
      <c r="J97" s="33" t="s">
        <v>35</v>
      </c>
      <c r="K97" s="33" t="s">
        <v>103</v>
      </c>
    </row>
    <row r="98" spans="1:11">
      <c r="A98" s="34" t="s">
        <v>125</v>
      </c>
      <c r="B98" s="35">
        <v>1163</v>
      </c>
      <c r="C98" s="33">
        <v>9212</v>
      </c>
      <c r="D98" s="33" t="s">
        <v>110</v>
      </c>
      <c r="E98" s="37">
        <v>4</v>
      </c>
      <c r="F98" s="37">
        <v>7</v>
      </c>
      <c r="G98" s="37">
        <f>F98-E98</f>
        <v>3</v>
      </c>
      <c r="H98" s="38">
        <f>IF(F98&gt;50,G98*0.2,G98*0.1)</f>
        <v>0.30000000000000004</v>
      </c>
      <c r="I98" s="33" t="s">
        <v>142</v>
      </c>
      <c r="J98" s="33" t="s">
        <v>35</v>
      </c>
      <c r="K98" s="33" t="s">
        <v>103</v>
      </c>
    </row>
    <row r="99" spans="1:11">
      <c r="A99" s="34" t="s">
        <v>126</v>
      </c>
      <c r="B99" s="35">
        <v>1168</v>
      </c>
      <c r="C99" s="33">
        <v>9822</v>
      </c>
      <c r="D99" s="33" t="s">
        <v>100</v>
      </c>
      <c r="E99" s="37">
        <v>58.3</v>
      </c>
      <c r="F99" s="37">
        <v>98.4</v>
      </c>
      <c r="G99" s="37">
        <f>F99-E99</f>
        <v>40.100000000000009</v>
      </c>
      <c r="H99" s="38">
        <f>IF(F99&gt;50,G99*0.2,G99*0.1)</f>
        <v>8.0200000000000014</v>
      </c>
      <c r="I99" s="33" t="s">
        <v>142</v>
      </c>
      <c r="J99" s="33" t="s">
        <v>35</v>
      </c>
      <c r="K99" s="33" t="s">
        <v>103</v>
      </c>
    </row>
    <row r="100" spans="1:11">
      <c r="A100" s="34" t="s">
        <v>118</v>
      </c>
      <c r="B100" s="35">
        <v>1049</v>
      </c>
      <c r="C100" s="33">
        <v>2499</v>
      </c>
      <c r="D100" s="33" t="s">
        <v>104</v>
      </c>
      <c r="E100" s="37">
        <v>6.2</v>
      </c>
      <c r="F100" s="37">
        <v>9.1999999999999993</v>
      </c>
      <c r="G100" s="37">
        <f>F100-E100</f>
        <v>2.9999999999999991</v>
      </c>
      <c r="H100" s="38">
        <f>IF(F100&gt;50,G100*0.2,G100*0.1)</f>
        <v>0.29999999999999993</v>
      </c>
      <c r="I100" s="33" t="s">
        <v>138</v>
      </c>
      <c r="J100" s="33" t="s">
        <v>139</v>
      </c>
      <c r="K100" s="33" t="s">
        <v>108</v>
      </c>
    </row>
    <row r="101" spans="1:11">
      <c r="A101" s="34" t="s">
        <v>99</v>
      </c>
      <c r="B101" s="35">
        <v>1010</v>
      </c>
      <c r="C101" s="33">
        <v>2877</v>
      </c>
      <c r="D101" s="33" t="s">
        <v>102</v>
      </c>
      <c r="E101" s="37">
        <v>11.4</v>
      </c>
      <c r="F101" s="37">
        <v>16.3</v>
      </c>
      <c r="G101" s="37">
        <f>F101-E101</f>
        <v>4.9000000000000004</v>
      </c>
      <c r="H101" s="38">
        <f>IF(F101&gt;50,G101*0.2,G101*0.1)</f>
        <v>0.49000000000000005</v>
      </c>
      <c r="I101" s="33" t="s">
        <v>140</v>
      </c>
      <c r="J101" s="33" t="s">
        <v>141</v>
      </c>
      <c r="K101" s="33" t="s">
        <v>108</v>
      </c>
    </row>
    <row r="102" spans="1:11">
      <c r="A102" s="34" t="s">
        <v>111</v>
      </c>
      <c r="B102" s="35">
        <v>1021</v>
      </c>
      <c r="C102" s="33">
        <v>1109</v>
      </c>
      <c r="D102" s="33" t="s">
        <v>107</v>
      </c>
      <c r="E102" s="37">
        <v>3</v>
      </c>
      <c r="F102" s="37">
        <v>8</v>
      </c>
      <c r="G102" s="37">
        <f>F102-E102</f>
        <v>5</v>
      </c>
      <c r="H102" s="38">
        <f>IF(F102&gt;50,G102*0.2,G102*0.1)</f>
        <v>0.5</v>
      </c>
      <c r="I102" s="33" t="s">
        <v>140</v>
      </c>
      <c r="J102" s="33" t="s">
        <v>141</v>
      </c>
      <c r="K102" s="33" t="s">
        <v>108</v>
      </c>
    </row>
    <row r="103" spans="1:11">
      <c r="A103" s="34" t="s">
        <v>111</v>
      </c>
      <c r="B103" s="35">
        <v>1034</v>
      </c>
      <c r="C103" s="33">
        <v>2877</v>
      </c>
      <c r="D103" s="33" t="s">
        <v>102</v>
      </c>
      <c r="E103" s="37">
        <v>11.4</v>
      </c>
      <c r="F103" s="37">
        <v>16.3</v>
      </c>
      <c r="G103" s="37">
        <f>F103-E103</f>
        <v>4.9000000000000004</v>
      </c>
      <c r="H103" s="38">
        <f>IF(F103&gt;50,G103*0.2,G103*0.1)</f>
        <v>0.49000000000000005</v>
      </c>
      <c r="I103" s="33" t="s">
        <v>140</v>
      </c>
      <c r="J103" s="33" t="s">
        <v>141</v>
      </c>
      <c r="K103" s="33" t="s">
        <v>108</v>
      </c>
    </row>
    <row r="104" spans="1:11">
      <c r="A104" s="34" t="s">
        <v>99</v>
      </c>
      <c r="B104" s="35">
        <v>1013</v>
      </c>
      <c r="C104" s="33">
        <v>9212</v>
      </c>
      <c r="D104" s="33" t="s">
        <v>110</v>
      </c>
      <c r="E104" s="37">
        <v>4</v>
      </c>
      <c r="F104" s="37">
        <v>7</v>
      </c>
      <c r="G104" s="37">
        <f>F104-E104</f>
        <v>3</v>
      </c>
      <c r="H104" s="38">
        <f>IF(F104&gt;50,G104*0.2,G104*0.1)</f>
        <v>0.30000000000000004</v>
      </c>
      <c r="I104" s="33" t="s">
        <v>143</v>
      </c>
      <c r="J104" s="33" t="s">
        <v>144</v>
      </c>
      <c r="K104" s="33" t="s">
        <v>108</v>
      </c>
    </row>
    <row r="105" spans="1:11">
      <c r="A105" s="34" t="s">
        <v>111</v>
      </c>
      <c r="B105" s="35">
        <v>1019</v>
      </c>
      <c r="C105" s="33">
        <v>2499</v>
      </c>
      <c r="D105" s="33" t="s">
        <v>104</v>
      </c>
      <c r="E105" s="37">
        <v>6.2</v>
      </c>
      <c r="F105" s="37">
        <v>9.1999999999999993</v>
      </c>
      <c r="G105" s="37">
        <f>F105-E105</f>
        <v>2.9999999999999991</v>
      </c>
      <c r="H105" s="38">
        <f>IF(F105&gt;50,G105*0.2,G105*0.1)</f>
        <v>0.29999999999999993</v>
      </c>
      <c r="I105" s="33" t="s">
        <v>142</v>
      </c>
      <c r="J105" s="33" t="s">
        <v>35</v>
      </c>
      <c r="K105" s="33" t="s">
        <v>108</v>
      </c>
    </row>
    <row r="106" spans="1:11">
      <c r="A106" s="34" t="s">
        <v>99</v>
      </c>
      <c r="B106" s="35">
        <v>1001</v>
      </c>
      <c r="C106" s="33">
        <v>9822</v>
      </c>
      <c r="D106" s="33" t="s">
        <v>100</v>
      </c>
      <c r="E106" s="37">
        <v>58.3</v>
      </c>
      <c r="F106" s="37">
        <v>98.4</v>
      </c>
      <c r="G106" s="37">
        <f>F106-E106</f>
        <v>40.100000000000009</v>
      </c>
      <c r="H106" s="38">
        <f>IF(F106&gt;50,G106*0.2,G106*0.1)</f>
        <v>8.0200000000000014</v>
      </c>
      <c r="I106" s="33" t="s">
        <v>138</v>
      </c>
      <c r="J106" s="33" t="s">
        <v>139</v>
      </c>
      <c r="K106" s="33" t="s">
        <v>101</v>
      </c>
    </row>
    <row r="107" spans="1:11">
      <c r="A107" s="34" t="s">
        <v>116</v>
      </c>
      <c r="B107" s="35">
        <v>1041</v>
      </c>
      <c r="C107" s="33">
        <v>2499</v>
      </c>
      <c r="D107" s="33" t="s">
        <v>104</v>
      </c>
      <c r="E107" s="37">
        <v>6.2</v>
      </c>
      <c r="F107" s="37">
        <v>9.1999999999999993</v>
      </c>
      <c r="G107" s="37">
        <f>F107-E107</f>
        <v>2.9999999999999991</v>
      </c>
      <c r="H107" s="38">
        <f>IF(F107&gt;50,G107*0.2,G107*0.1)</f>
        <v>0.29999999999999993</v>
      </c>
      <c r="I107" s="33" t="s">
        <v>138</v>
      </c>
      <c r="J107" s="33" t="s">
        <v>139</v>
      </c>
      <c r="K107" s="33" t="s">
        <v>101</v>
      </c>
    </row>
    <row r="108" spans="1:11">
      <c r="A108" s="34" t="s">
        <v>120</v>
      </c>
      <c r="B108" s="35">
        <v>1088</v>
      </c>
      <c r="C108" s="33">
        <v>2499</v>
      </c>
      <c r="D108" s="33" t="s">
        <v>104</v>
      </c>
      <c r="E108" s="37">
        <v>6.2</v>
      </c>
      <c r="F108" s="37">
        <v>9.1999999999999993</v>
      </c>
      <c r="G108" s="37">
        <f>F108-E108</f>
        <v>2.9999999999999991</v>
      </c>
      <c r="H108" s="38">
        <f>IF(F108&gt;50,G108*0.2,G108*0.1)</f>
        <v>0.29999999999999993</v>
      </c>
      <c r="I108" s="33" t="s">
        <v>138</v>
      </c>
      <c r="J108" s="33" t="s">
        <v>139</v>
      </c>
      <c r="K108" s="33" t="s">
        <v>101</v>
      </c>
    </row>
    <row r="109" spans="1:11">
      <c r="A109" s="34" t="s">
        <v>111</v>
      </c>
      <c r="B109" s="35">
        <v>1017</v>
      </c>
      <c r="C109" s="33">
        <v>2242</v>
      </c>
      <c r="D109" s="33" t="s">
        <v>112</v>
      </c>
      <c r="E109" s="37">
        <v>60</v>
      </c>
      <c r="F109" s="37">
        <v>124</v>
      </c>
      <c r="G109" s="37">
        <f>F109-E109</f>
        <v>64</v>
      </c>
      <c r="H109" s="38">
        <f>IF(F109&gt;50,G109*0.2,G109*0.1)</f>
        <v>12.8</v>
      </c>
      <c r="I109" s="33" t="s">
        <v>140</v>
      </c>
      <c r="J109" s="33" t="s">
        <v>141</v>
      </c>
      <c r="K109" s="33" t="s">
        <v>101</v>
      </c>
    </row>
    <row r="110" spans="1:11">
      <c r="A110" s="34" t="s">
        <v>120</v>
      </c>
      <c r="B110" s="35">
        <v>1079</v>
      </c>
      <c r="C110" s="33">
        <v>2877</v>
      </c>
      <c r="D110" s="33" t="s">
        <v>102</v>
      </c>
      <c r="E110" s="37">
        <v>11.4</v>
      </c>
      <c r="F110" s="37">
        <v>16.3</v>
      </c>
      <c r="G110" s="37">
        <f>F110-E110</f>
        <v>4.9000000000000004</v>
      </c>
      <c r="H110" s="38">
        <f>IF(F110&gt;50,G110*0.2,G110*0.1)</f>
        <v>0.49000000000000005</v>
      </c>
      <c r="I110" s="33" t="s">
        <v>140</v>
      </c>
      <c r="J110" s="33" t="s">
        <v>141</v>
      </c>
      <c r="K110" s="33" t="s">
        <v>101</v>
      </c>
    </row>
    <row r="111" spans="1:11">
      <c r="A111" s="34" t="s">
        <v>120</v>
      </c>
      <c r="B111" s="35">
        <v>1098</v>
      </c>
      <c r="C111" s="33">
        <v>2877</v>
      </c>
      <c r="D111" s="33" t="s">
        <v>102</v>
      </c>
      <c r="E111" s="37">
        <v>11.4</v>
      </c>
      <c r="F111" s="37">
        <v>16.3</v>
      </c>
      <c r="G111" s="37">
        <f>F111-E111</f>
        <v>4.9000000000000004</v>
      </c>
      <c r="H111" s="38">
        <f>IF(F111&gt;50,G111*0.2,G111*0.1)</f>
        <v>0.49000000000000005</v>
      </c>
      <c r="I111" s="33" t="s">
        <v>140</v>
      </c>
      <c r="J111" s="33" t="s">
        <v>141</v>
      </c>
      <c r="K111" s="33" t="s">
        <v>101</v>
      </c>
    </row>
    <row r="112" spans="1:11">
      <c r="A112" s="34" t="s">
        <v>99</v>
      </c>
      <c r="B112" s="35">
        <v>1007</v>
      </c>
      <c r="C112" s="33">
        <v>1109</v>
      </c>
      <c r="D112" s="33" t="s">
        <v>107</v>
      </c>
      <c r="E112" s="37">
        <v>3</v>
      </c>
      <c r="F112" s="37">
        <v>8</v>
      </c>
      <c r="G112" s="37">
        <f>F112-E112</f>
        <v>5</v>
      </c>
      <c r="H112" s="38">
        <f>IF(F112&gt;50,G112*0.2,G112*0.1)</f>
        <v>0.5</v>
      </c>
      <c r="I112" s="33" t="s">
        <v>143</v>
      </c>
      <c r="J112" s="33" t="s">
        <v>144</v>
      </c>
      <c r="K112" s="33" t="s">
        <v>101</v>
      </c>
    </row>
    <row r="113" spans="1:11">
      <c r="A113" s="34" t="s">
        <v>111</v>
      </c>
      <c r="B113" s="35">
        <v>1023</v>
      </c>
      <c r="C113" s="33">
        <v>1109</v>
      </c>
      <c r="D113" s="33" t="s">
        <v>107</v>
      </c>
      <c r="E113" s="37">
        <v>3</v>
      </c>
      <c r="F113" s="37">
        <v>8</v>
      </c>
      <c r="G113" s="37">
        <f>F113-E113</f>
        <v>5</v>
      </c>
      <c r="H113" s="38">
        <f>IF(F113&gt;50,G113*0.2,G113*0.1)</f>
        <v>0.5</v>
      </c>
      <c r="I113" s="33" t="s">
        <v>143</v>
      </c>
      <c r="J113" s="33" t="s">
        <v>144</v>
      </c>
      <c r="K113" s="33" t="s">
        <v>101</v>
      </c>
    </row>
    <row r="114" spans="1:11">
      <c r="A114" s="34" t="s">
        <v>111</v>
      </c>
      <c r="B114" s="35">
        <v>1026</v>
      </c>
      <c r="C114" s="33">
        <v>6119</v>
      </c>
      <c r="D114" s="33" t="s">
        <v>115</v>
      </c>
      <c r="E114" s="37">
        <v>9</v>
      </c>
      <c r="F114" s="37">
        <v>14</v>
      </c>
      <c r="G114" s="37">
        <f>F114-E114</f>
        <v>5</v>
      </c>
      <c r="H114" s="38">
        <f>IF(F114&gt;50,G114*0.2,G114*0.1)</f>
        <v>0.5</v>
      </c>
      <c r="I114" s="33" t="s">
        <v>143</v>
      </c>
      <c r="J114" s="33" t="s">
        <v>144</v>
      </c>
      <c r="K114" s="33" t="s">
        <v>101</v>
      </c>
    </row>
    <row r="115" spans="1:11">
      <c r="A115" s="34" t="s">
        <v>121</v>
      </c>
      <c r="B115" s="35">
        <v>1107</v>
      </c>
      <c r="C115" s="33">
        <v>1109</v>
      </c>
      <c r="D115" s="33" t="s">
        <v>107</v>
      </c>
      <c r="E115" s="37">
        <v>3</v>
      </c>
      <c r="F115" s="37">
        <v>8</v>
      </c>
      <c r="G115" s="37">
        <f>F115-E115</f>
        <v>5</v>
      </c>
      <c r="H115" s="38">
        <f>IF(F115&gt;50,G115*0.2,G115*0.1)</f>
        <v>0.5</v>
      </c>
      <c r="I115" s="33" t="s">
        <v>143</v>
      </c>
      <c r="J115" s="33" t="s">
        <v>144</v>
      </c>
      <c r="K115" s="33" t="s">
        <v>101</v>
      </c>
    </row>
    <row r="116" spans="1:11">
      <c r="A116" s="34" t="s">
        <v>121</v>
      </c>
      <c r="B116" s="35">
        <v>1117</v>
      </c>
      <c r="C116" s="33">
        <v>8722</v>
      </c>
      <c r="D116" s="33" t="s">
        <v>106</v>
      </c>
      <c r="E116" s="37">
        <v>344</v>
      </c>
      <c r="F116" s="37">
        <v>502</v>
      </c>
      <c r="G116" s="37">
        <f>F116-E116</f>
        <v>158</v>
      </c>
      <c r="H116" s="38">
        <f>IF(F116&gt;50,G116*0.2,G116*0.1)</f>
        <v>31.6</v>
      </c>
      <c r="I116" s="33" t="s">
        <v>143</v>
      </c>
      <c r="J116" s="33" t="s">
        <v>144</v>
      </c>
      <c r="K116" s="33" t="s">
        <v>101</v>
      </c>
    </row>
    <row r="117" spans="1:11">
      <c r="A117" s="34" t="s">
        <v>123</v>
      </c>
      <c r="B117" s="35">
        <v>1145</v>
      </c>
      <c r="C117" s="33">
        <v>4421</v>
      </c>
      <c r="D117" s="33" t="s">
        <v>109</v>
      </c>
      <c r="E117" s="37">
        <v>45</v>
      </c>
      <c r="F117" s="37">
        <v>87</v>
      </c>
      <c r="G117" s="37">
        <f>F117-E117</f>
        <v>42</v>
      </c>
      <c r="H117" s="38">
        <f>IF(F117&gt;50,G117*0.2,G117*0.1)</f>
        <v>8.4</v>
      </c>
      <c r="I117" s="33" t="s">
        <v>143</v>
      </c>
      <c r="J117" s="33" t="s">
        <v>144</v>
      </c>
      <c r="K117" s="33" t="s">
        <v>101</v>
      </c>
    </row>
    <row r="118" spans="1:11">
      <c r="A118" s="34" t="s">
        <v>99</v>
      </c>
      <c r="B118" s="35">
        <v>1008</v>
      </c>
      <c r="C118" s="33">
        <v>2877</v>
      </c>
      <c r="D118" s="33" t="s">
        <v>102</v>
      </c>
      <c r="E118" s="37">
        <v>11.4</v>
      </c>
      <c r="F118" s="37">
        <v>16.3</v>
      </c>
      <c r="G118" s="37">
        <f>F118-E118</f>
        <v>4.9000000000000004</v>
      </c>
      <c r="H118" s="38">
        <f>IF(F118&gt;50,G118*0.2,G118*0.1)</f>
        <v>0.49000000000000005</v>
      </c>
      <c r="I118" s="33" t="s">
        <v>142</v>
      </c>
      <c r="J118" s="33" t="s">
        <v>35</v>
      </c>
      <c r="K118" s="33" t="s">
        <v>101</v>
      </c>
    </row>
    <row r="119" spans="1:11">
      <c r="A119" s="34" t="s">
        <v>99</v>
      </c>
      <c r="B119" s="35">
        <v>1012</v>
      </c>
      <c r="C119" s="33">
        <v>4421</v>
      </c>
      <c r="D119" s="33" t="s">
        <v>109</v>
      </c>
      <c r="E119" s="37">
        <v>45</v>
      </c>
      <c r="F119" s="37">
        <v>87</v>
      </c>
      <c r="G119" s="37">
        <f>F119-E119</f>
        <v>42</v>
      </c>
      <c r="H119" s="38">
        <f>IF(F119&gt;50,G119*0.2,G119*0.1)</f>
        <v>8.4</v>
      </c>
      <c r="I119" s="33" t="s">
        <v>142</v>
      </c>
      <c r="J119" s="33" t="s">
        <v>35</v>
      </c>
      <c r="K119" s="33" t="s">
        <v>101</v>
      </c>
    </row>
    <row r="120" spans="1:11">
      <c r="A120" s="34" t="s">
        <v>116</v>
      </c>
      <c r="B120" s="35">
        <v>1042</v>
      </c>
      <c r="C120" s="33">
        <v>8722</v>
      </c>
      <c r="D120" s="33" t="s">
        <v>106</v>
      </c>
      <c r="E120" s="37">
        <v>344</v>
      </c>
      <c r="F120" s="37">
        <v>502</v>
      </c>
      <c r="G120" s="37">
        <f>F120-E120</f>
        <v>158</v>
      </c>
      <c r="H120" s="38">
        <f>IF(F120&gt;50,G120*0.2,G120*0.1)</f>
        <v>31.6</v>
      </c>
      <c r="I120" s="33" t="s">
        <v>142</v>
      </c>
      <c r="J120" s="33" t="s">
        <v>35</v>
      </c>
      <c r="K120" s="33" t="s">
        <v>101</v>
      </c>
    </row>
    <row r="121" spans="1:11">
      <c r="A121" s="34" t="s">
        <v>119</v>
      </c>
      <c r="B121" s="35">
        <v>1065</v>
      </c>
      <c r="C121" s="33">
        <v>2499</v>
      </c>
      <c r="D121" s="33" t="s">
        <v>104</v>
      </c>
      <c r="E121" s="37">
        <v>6.2</v>
      </c>
      <c r="F121" s="37">
        <v>9.1999999999999993</v>
      </c>
      <c r="G121" s="37">
        <f>F121-E121</f>
        <v>2.9999999999999991</v>
      </c>
      <c r="H121" s="38">
        <f>IF(F121&gt;50,G121*0.2,G121*0.1)</f>
        <v>0.29999999999999993</v>
      </c>
      <c r="I121" s="33" t="s">
        <v>142</v>
      </c>
      <c r="J121" s="33" t="s">
        <v>35</v>
      </c>
      <c r="K121" s="33" t="s">
        <v>101</v>
      </c>
    </row>
    <row r="122" spans="1:11">
      <c r="A122" s="34" t="s">
        <v>122</v>
      </c>
      <c r="B122" s="35">
        <v>1126</v>
      </c>
      <c r="C122" s="33">
        <v>9212</v>
      </c>
      <c r="D122" s="33" t="s">
        <v>110</v>
      </c>
      <c r="E122" s="37">
        <v>4</v>
      </c>
      <c r="F122" s="37">
        <v>7</v>
      </c>
      <c r="G122" s="37">
        <f>F122-E122</f>
        <v>3</v>
      </c>
      <c r="H122" s="38">
        <f>IF(F122&gt;50,G122*0.2,G122*0.1)</f>
        <v>0.30000000000000004</v>
      </c>
      <c r="I122" s="33" t="s">
        <v>142</v>
      </c>
      <c r="J122" s="33" t="s">
        <v>35</v>
      </c>
      <c r="K122" s="33" t="s">
        <v>101</v>
      </c>
    </row>
    <row r="123" spans="1:11">
      <c r="A123" s="34" t="s">
        <v>122</v>
      </c>
      <c r="B123" s="35">
        <v>1136</v>
      </c>
      <c r="C123" s="33">
        <v>2242</v>
      </c>
      <c r="D123" s="33" t="s">
        <v>112</v>
      </c>
      <c r="E123" s="37">
        <v>60</v>
      </c>
      <c r="F123" s="37">
        <v>124</v>
      </c>
      <c r="G123" s="37">
        <f>F123-E123</f>
        <v>64</v>
      </c>
      <c r="H123" s="38">
        <f>IF(F123&gt;50,G123*0.2,G123*0.1)</f>
        <v>12.8</v>
      </c>
      <c r="I123" s="33" t="s">
        <v>142</v>
      </c>
      <c r="J123" s="33" t="s">
        <v>35</v>
      </c>
      <c r="K123" s="33" t="s">
        <v>101</v>
      </c>
    </row>
    <row r="124" spans="1:11">
      <c r="A124" s="34" t="s">
        <v>124</v>
      </c>
      <c r="B124" s="35">
        <v>1157</v>
      </c>
      <c r="C124" s="33">
        <v>9212</v>
      </c>
      <c r="D124" s="33" t="s">
        <v>110</v>
      </c>
      <c r="E124" s="37">
        <v>4</v>
      </c>
      <c r="F124" s="37">
        <v>7</v>
      </c>
      <c r="G124" s="37">
        <f>F124-E124</f>
        <v>3</v>
      </c>
      <c r="H124" s="38">
        <f>IF(F124&gt;50,G124*0.2,G124*0.1)</f>
        <v>0.30000000000000004</v>
      </c>
      <c r="I124" s="33" t="s">
        <v>142</v>
      </c>
      <c r="J124" s="33" t="s">
        <v>35</v>
      </c>
      <c r="K124" s="33" t="s">
        <v>101</v>
      </c>
    </row>
    <row r="125" spans="1:11">
      <c r="A125" s="34" t="s">
        <v>126</v>
      </c>
      <c r="B125" s="35">
        <v>1167</v>
      </c>
      <c r="C125" s="33">
        <v>2242</v>
      </c>
      <c r="D125" s="33" t="s">
        <v>112</v>
      </c>
      <c r="E125" s="37">
        <v>60</v>
      </c>
      <c r="F125" s="37">
        <v>124</v>
      </c>
      <c r="G125" s="37">
        <f>F125-E125</f>
        <v>64</v>
      </c>
      <c r="H125" s="38">
        <f>IF(F125&gt;50,G125*0.2,G125*0.1)</f>
        <v>12.8</v>
      </c>
      <c r="I125" s="33" t="s">
        <v>142</v>
      </c>
      <c r="J125" s="33" t="s">
        <v>35</v>
      </c>
      <c r="K125" s="33" t="s">
        <v>101</v>
      </c>
    </row>
    <row r="126" spans="1:11">
      <c r="A126" s="34" t="s">
        <v>111</v>
      </c>
      <c r="B126" s="35">
        <v>1027</v>
      </c>
      <c r="C126" s="33">
        <v>6119</v>
      </c>
      <c r="D126" s="33" t="s">
        <v>115</v>
      </c>
      <c r="E126" s="37">
        <v>9</v>
      </c>
      <c r="F126" s="37">
        <v>14</v>
      </c>
      <c r="G126" s="37">
        <f>F126-E126</f>
        <v>5</v>
      </c>
      <c r="H126" s="38">
        <f>IF(F126&gt;50,G126*0.2,G126*0.1)</f>
        <v>0.5</v>
      </c>
      <c r="I126" s="33" t="s">
        <v>138</v>
      </c>
      <c r="J126" s="33" t="s">
        <v>139</v>
      </c>
      <c r="K126" s="33" t="s">
        <v>113</v>
      </c>
    </row>
    <row r="127" spans="1:11">
      <c r="A127" s="34" t="s">
        <v>120</v>
      </c>
      <c r="B127" s="35">
        <v>1083</v>
      </c>
      <c r="C127" s="33">
        <v>1109</v>
      </c>
      <c r="D127" s="33" t="s">
        <v>107</v>
      </c>
      <c r="E127" s="37">
        <v>3</v>
      </c>
      <c r="F127" s="37">
        <v>8</v>
      </c>
      <c r="G127" s="37">
        <f>F127-E127</f>
        <v>5</v>
      </c>
      <c r="H127" s="38">
        <f>IF(F127&gt;50,G127*0.2,G127*0.1)</f>
        <v>0.5</v>
      </c>
      <c r="I127" s="33" t="s">
        <v>138</v>
      </c>
      <c r="J127" s="33" t="s">
        <v>139</v>
      </c>
      <c r="K127" s="33" t="s">
        <v>113</v>
      </c>
    </row>
    <row r="128" spans="1:11">
      <c r="A128" s="34" t="s">
        <v>122</v>
      </c>
      <c r="B128" s="35">
        <v>1127</v>
      </c>
      <c r="C128" s="33">
        <v>8722</v>
      </c>
      <c r="D128" s="33" t="s">
        <v>106</v>
      </c>
      <c r="E128" s="37">
        <v>344</v>
      </c>
      <c r="F128" s="37">
        <v>502</v>
      </c>
      <c r="G128" s="37">
        <f>F128-E128</f>
        <v>158</v>
      </c>
      <c r="H128" s="38">
        <f>IF(F128&gt;50,G128*0.2,G128*0.1)</f>
        <v>31.6</v>
      </c>
      <c r="I128" s="33" t="s">
        <v>138</v>
      </c>
      <c r="J128" s="33" t="s">
        <v>139</v>
      </c>
      <c r="K128" s="33" t="s">
        <v>113</v>
      </c>
    </row>
    <row r="129" spans="1:11">
      <c r="A129" s="34" t="s">
        <v>122</v>
      </c>
      <c r="B129" s="35">
        <v>1135</v>
      </c>
      <c r="C129" s="33">
        <v>8722</v>
      </c>
      <c r="D129" s="33" t="s">
        <v>106</v>
      </c>
      <c r="E129" s="37">
        <v>344</v>
      </c>
      <c r="F129" s="37">
        <v>502</v>
      </c>
      <c r="G129" s="37">
        <f>F129-E129</f>
        <v>158</v>
      </c>
      <c r="H129" s="38">
        <f>IF(F129&gt;50,G129*0.2,G129*0.1)</f>
        <v>31.6</v>
      </c>
      <c r="I129" s="33" t="s">
        <v>138</v>
      </c>
      <c r="J129" s="33" t="s">
        <v>139</v>
      </c>
      <c r="K129" s="33" t="s">
        <v>113</v>
      </c>
    </row>
    <row r="130" spans="1:11">
      <c r="A130" s="34" t="s">
        <v>124</v>
      </c>
      <c r="B130" s="35">
        <v>1152</v>
      </c>
      <c r="C130" s="33">
        <v>4421</v>
      </c>
      <c r="D130" s="33" t="s">
        <v>109</v>
      </c>
      <c r="E130" s="37">
        <v>45</v>
      </c>
      <c r="F130" s="37">
        <v>87</v>
      </c>
      <c r="G130" s="37">
        <f>F130-E130</f>
        <v>42</v>
      </c>
      <c r="H130" s="38">
        <f>IF(F130&gt;50,G130*0.2,G130*0.1)</f>
        <v>8.4</v>
      </c>
      <c r="I130" s="33" t="s">
        <v>138</v>
      </c>
      <c r="J130" s="33" t="s">
        <v>139</v>
      </c>
      <c r="K130" s="33" t="s">
        <v>113</v>
      </c>
    </row>
    <row r="131" spans="1:11">
      <c r="A131" s="34" t="s">
        <v>125</v>
      </c>
      <c r="B131" s="35">
        <v>1158</v>
      </c>
      <c r="C131" s="33">
        <v>8722</v>
      </c>
      <c r="D131" s="33" t="s">
        <v>106</v>
      </c>
      <c r="E131" s="37">
        <v>344</v>
      </c>
      <c r="F131" s="37">
        <v>502</v>
      </c>
      <c r="G131" s="37">
        <f>F131-E131</f>
        <v>158</v>
      </c>
      <c r="H131" s="38">
        <f>IF(F131&gt;50,G131*0.2,G131*0.1)</f>
        <v>31.6</v>
      </c>
      <c r="I131" s="33" t="s">
        <v>138</v>
      </c>
      <c r="J131" s="33" t="s">
        <v>139</v>
      </c>
      <c r="K131" s="33" t="s">
        <v>113</v>
      </c>
    </row>
    <row r="132" spans="1:11">
      <c r="A132" s="34" t="s">
        <v>111</v>
      </c>
      <c r="B132" s="35">
        <v>1030</v>
      </c>
      <c r="C132" s="33">
        <v>4421</v>
      </c>
      <c r="D132" s="33" t="s">
        <v>109</v>
      </c>
      <c r="E132" s="37">
        <v>45</v>
      </c>
      <c r="F132" s="37">
        <v>87</v>
      </c>
      <c r="G132" s="37">
        <f>F132-E132</f>
        <v>42</v>
      </c>
      <c r="H132" s="38">
        <f>IF(F132&gt;50,G132*0.2,G132*0.1)</f>
        <v>8.4</v>
      </c>
      <c r="I132" s="33" t="s">
        <v>140</v>
      </c>
      <c r="J132" s="33" t="s">
        <v>141</v>
      </c>
      <c r="K132" s="33" t="s">
        <v>113</v>
      </c>
    </row>
    <row r="133" spans="1:11">
      <c r="A133" s="34" t="s">
        <v>116</v>
      </c>
      <c r="B133" s="35">
        <v>1036</v>
      </c>
      <c r="C133" s="33">
        <v>2499</v>
      </c>
      <c r="D133" s="33" t="s">
        <v>104</v>
      </c>
      <c r="E133" s="37">
        <v>6.2</v>
      </c>
      <c r="F133" s="37">
        <v>9.1999999999999993</v>
      </c>
      <c r="G133" s="37">
        <f>F133-E133</f>
        <v>2.9999999999999991</v>
      </c>
      <c r="H133" s="38">
        <f>IF(F133&gt;50,G133*0.2,G133*0.1)</f>
        <v>0.29999999999999993</v>
      </c>
      <c r="I133" s="33" t="s">
        <v>140</v>
      </c>
      <c r="J133" s="33" t="s">
        <v>141</v>
      </c>
      <c r="K133" s="33" t="s">
        <v>113</v>
      </c>
    </row>
    <row r="134" spans="1:11">
      <c r="A134" s="34" t="s">
        <v>116</v>
      </c>
      <c r="B134" s="35">
        <v>1037</v>
      </c>
      <c r="C134" s="33">
        <v>6622</v>
      </c>
      <c r="D134" s="33" t="s">
        <v>117</v>
      </c>
      <c r="E134" s="37">
        <v>42</v>
      </c>
      <c r="F134" s="37">
        <v>77</v>
      </c>
      <c r="G134" s="37">
        <f>F134-E134</f>
        <v>35</v>
      </c>
      <c r="H134" s="38">
        <f>IF(F134&gt;50,G134*0.2,G134*0.1)</f>
        <v>7</v>
      </c>
      <c r="I134" s="33" t="s">
        <v>140</v>
      </c>
      <c r="J134" s="33" t="s">
        <v>141</v>
      </c>
      <c r="K134" s="33" t="s">
        <v>113</v>
      </c>
    </row>
    <row r="135" spans="1:11">
      <c r="A135" s="34" t="s">
        <v>116</v>
      </c>
      <c r="B135" s="35">
        <v>1038</v>
      </c>
      <c r="C135" s="33">
        <v>2499</v>
      </c>
      <c r="D135" s="33" t="s">
        <v>104</v>
      </c>
      <c r="E135" s="37">
        <v>6.2</v>
      </c>
      <c r="F135" s="37">
        <v>9.1999999999999993</v>
      </c>
      <c r="G135" s="37">
        <f>F135-E135</f>
        <v>2.9999999999999991</v>
      </c>
      <c r="H135" s="38">
        <f>IF(F135&gt;50,G135*0.2,G135*0.1)</f>
        <v>0.29999999999999993</v>
      </c>
      <c r="I135" s="33" t="s">
        <v>140</v>
      </c>
      <c r="J135" s="33" t="s">
        <v>141</v>
      </c>
      <c r="K135" s="33" t="s">
        <v>113</v>
      </c>
    </row>
    <row r="136" spans="1:11">
      <c r="A136" s="34" t="s">
        <v>118</v>
      </c>
      <c r="B136" s="35">
        <v>1055</v>
      </c>
      <c r="C136" s="33">
        <v>6119</v>
      </c>
      <c r="D136" s="33" t="s">
        <v>115</v>
      </c>
      <c r="E136" s="37">
        <v>9</v>
      </c>
      <c r="F136" s="37">
        <v>14</v>
      </c>
      <c r="G136" s="37">
        <f>F136-E136</f>
        <v>5</v>
      </c>
      <c r="H136" s="38">
        <f>IF(F136&gt;50,G136*0.2,G136*0.1)</f>
        <v>0.5</v>
      </c>
      <c r="I136" s="33" t="s">
        <v>140</v>
      </c>
      <c r="J136" s="33" t="s">
        <v>141</v>
      </c>
      <c r="K136" s="33" t="s">
        <v>113</v>
      </c>
    </row>
    <row r="137" spans="1:11">
      <c r="A137" s="34" t="s">
        <v>119</v>
      </c>
      <c r="B137" s="35">
        <v>1078</v>
      </c>
      <c r="C137" s="33">
        <v>2877</v>
      </c>
      <c r="D137" s="33" t="s">
        <v>102</v>
      </c>
      <c r="E137" s="37">
        <v>11.4</v>
      </c>
      <c r="F137" s="37">
        <v>16.3</v>
      </c>
      <c r="G137" s="37">
        <f>F137-E137</f>
        <v>4.9000000000000004</v>
      </c>
      <c r="H137" s="38">
        <f>IF(F137&gt;50,G137*0.2,G137*0.1)</f>
        <v>0.49000000000000005</v>
      </c>
      <c r="I137" s="33" t="s">
        <v>140</v>
      </c>
      <c r="J137" s="33" t="s">
        <v>141</v>
      </c>
      <c r="K137" s="33" t="s">
        <v>113</v>
      </c>
    </row>
    <row r="138" spans="1:11">
      <c r="A138" s="34" t="s">
        <v>121</v>
      </c>
      <c r="B138" s="35">
        <v>1102</v>
      </c>
      <c r="C138" s="33">
        <v>2242</v>
      </c>
      <c r="D138" s="33" t="s">
        <v>112</v>
      </c>
      <c r="E138" s="37">
        <v>60</v>
      </c>
      <c r="F138" s="37">
        <v>124</v>
      </c>
      <c r="G138" s="37">
        <f>F138-E138</f>
        <v>64</v>
      </c>
      <c r="H138" s="38">
        <f>IF(F138&gt;50,G138*0.2,G138*0.1)</f>
        <v>12.8</v>
      </c>
      <c r="I138" s="33" t="s">
        <v>140</v>
      </c>
      <c r="J138" s="33" t="s">
        <v>141</v>
      </c>
      <c r="K138" s="33" t="s">
        <v>113</v>
      </c>
    </row>
    <row r="139" spans="1:11">
      <c r="A139" s="34" t="s">
        <v>122</v>
      </c>
      <c r="B139" s="35">
        <v>1140</v>
      </c>
      <c r="C139" s="33">
        <v>4421</v>
      </c>
      <c r="D139" s="33" t="s">
        <v>109</v>
      </c>
      <c r="E139" s="37">
        <v>45</v>
      </c>
      <c r="F139" s="37">
        <v>87</v>
      </c>
      <c r="G139" s="37">
        <f>F139-E139</f>
        <v>42</v>
      </c>
      <c r="H139" s="38">
        <f>IF(F139&gt;50,G139*0.2,G139*0.1)</f>
        <v>8.4</v>
      </c>
      <c r="I139" s="33" t="s">
        <v>140</v>
      </c>
      <c r="J139" s="33" t="s">
        <v>141</v>
      </c>
      <c r="K139" s="33" t="s">
        <v>113</v>
      </c>
    </row>
    <row r="140" spans="1:11">
      <c r="A140" s="34" t="s">
        <v>123</v>
      </c>
      <c r="B140" s="35">
        <v>1142</v>
      </c>
      <c r="C140" s="33">
        <v>2242</v>
      </c>
      <c r="D140" s="33" t="s">
        <v>112</v>
      </c>
      <c r="E140" s="37">
        <v>60</v>
      </c>
      <c r="F140" s="37">
        <v>124</v>
      </c>
      <c r="G140" s="37">
        <f>F140-E140</f>
        <v>64</v>
      </c>
      <c r="H140" s="38">
        <f>IF(F140&gt;50,G140*0.2,G140*0.1)</f>
        <v>12.8</v>
      </c>
      <c r="I140" s="33" t="s">
        <v>140</v>
      </c>
      <c r="J140" s="33" t="s">
        <v>141</v>
      </c>
      <c r="K140" s="33" t="s">
        <v>113</v>
      </c>
    </row>
    <row r="141" spans="1:11">
      <c r="A141" s="34" t="s">
        <v>124</v>
      </c>
      <c r="B141" s="35">
        <v>1154</v>
      </c>
      <c r="C141" s="33">
        <v>9822</v>
      </c>
      <c r="D141" s="33" t="s">
        <v>100</v>
      </c>
      <c r="E141" s="37">
        <v>58.3</v>
      </c>
      <c r="F141" s="37">
        <v>98.4</v>
      </c>
      <c r="G141" s="37">
        <f>F141-E141</f>
        <v>40.100000000000009</v>
      </c>
      <c r="H141" s="38">
        <f>IF(F141&gt;50,G141*0.2,G141*0.1)</f>
        <v>8.0200000000000014</v>
      </c>
      <c r="I141" s="33" t="s">
        <v>140</v>
      </c>
      <c r="J141" s="33" t="s">
        <v>141</v>
      </c>
      <c r="K141" s="33" t="s">
        <v>113</v>
      </c>
    </row>
    <row r="142" spans="1:11">
      <c r="A142" s="34" t="s">
        <v>126</v>
      </c>
      <c r="B142" s="35">
        <v>1171</v>
      </c>
      <c r="C142" s="33">
        <v>4421</v>
      </c>
      <c r="D142" s="33" t="s">
        <v>109</v>
      </c>
      <c r="E142" s="37">
        <v>45</v>
      </c>
      <c r="F142" s="37">
        <v>87</v>
      </c>
      <c r="G142" s="37">
        <f>F142-E142</f>
        <v>42</v>
      </c>
      <c r="H142" s="38">
        <f>IF(F142&gt;50,G142*0.2,G142*0.1)</f>
        <v>8.4</v>
      </c>
      <c r="I142" s="33" t="s">
        <v>140</v>
      </c>
      <c r="J142" s="33" t="s">
        <v>141</v>
      </c>
      <c r="K142" s="33" t="s">
        <v>113</v>
      </c>
    </row>
    <row r="143" spans="1:11">
      <c r="A143" s="34" t="s">
        <v>111</v>
      </c>
      <c r="B143" s="35">
        <v>1025</v>
      </c>
      <c r="C143" s="33">
        <v>2877</v>
      </c>
      <c r="D143" s="33" t="s">
        <v>102</v>
      </c>
      <c r="E143" s="37">
        <v>11.4</v>
      </c>
      <c r="F143" s="37">
        <v>16.3</v>
      </c>
      <c r="G143" s="37">
        <f>F143-E143</f>
        <v>4.9000000000000004</v>
      </c>
      <c r="H143" s="38">
        <f>IF(F143&gt;50,G143*0.2,G143*0.1)</f>
        <v>0.49000000000000005</v>
      </c>
      <c r="I143" s="33" t="s">
        <v>143</v>
      </c>
      <c r="J143" s="33" t="s">
        <v>144</v>
      </c>
      <c r="K143" s="33" t="s">
        <v>113</v>
      </c>
    </row>
    <row r="144" spans="1:11">
      <c r="A144" s="34" t="s">
        <v>120</v>
      </c>
      <c r="B144" s="35">
        <v>1091</v>
      </c>
      <c r="C144" s="33">
        <v>2877</v>
      </c>
      <c r="D144" s="33" t="s">
        <v>102</v>
      </c>
      <c r="E144" s="37">
        <v>11.4</v>
      </c>
      <c r="F144" s="37">
        <v>16.3</v>
      </c>
      <c r="G144" s="37">
        <f>F144-E144</f>
        <v>4.9000000000000004</v>
      </c>
      <c r="H144" s="38">
        <f>IF(F144&gt;50,G144*0.2,G144*0.1)</f>
        <v>0.49000000000000005</v>
      </c>
      <c r="I144" s="33" t="s">
        <v>143</v>
      </c>
      <c r="J144" s="33" t="s">
        <v>144</v>
      </c>
      <c r="K144" s="33" t="s">
        <v>113</v>
      </c>
    </row>
    <row r="145" spans="1:11">
      <c r="A145" s="34" t="s">
        <v>120</v>
      </c>
      <c r="B145" s="35">
        <v>1097</v>
      </c>
      <c r="C145" s="33">
        <v>9212</v>
      </c>
      <c r="D145" s="33" t="s">
        <v>110</v>
      </c>
      <c r="E145" s="37">
        <v>4</v>
      </c>
      <c r="F145" s="37">
        <v>7</v>
      </c>
      <c r="G145" s="37">
        <f>F145-E145</f>
        <v>3</v>
      </c>
      <c r="H145" s="38">
        <f>IF(F145&gt;50,G145*0.2,G145*0.1)</f>
        <v>0.30000000000000004</v>
      </c>
      <c r="I145" s="33" t="s">
        <v>143</v>
      </c>
      <c r="J145" s="33" t="s">
        <v>144</v>
      </c>
      <c r="K145" s="33" t="s">
        <v>113</v>
      </c>
    </row>
    <row r="146" spans="1:11">
      <c r="A146" s="34" t="s">
        <v>121</v>
      </c>
      <c r="B146" s="35">
        <v>1110</v>
      </c>
      <c r="C146" s="33">
        <v>8722</v>
      </c>
      <c r="D146" s="33" t="s">
        <v>106</v>
      </c>
      <c r="E146" s="37">
        <v>344</v>
      </c>
      <c r="F146" s="37">
        <v>502</v>
      </c>
      <c r="G146" s="37">
        <f>F146-E146</f>
        <v>158</v>
      </c>
      <c r="H146" s="38">
        <f>IF(F146&gt;50,G146*0.2,G146*0.1)</f>
        <v>31.6</v>
      </c>
      <c r="I146" s="33" t="s">
        <v>143</v>
      </c>
      <c r="J146" s="33" t="s">
        <v>144</v>
      </c>
      <c r="K146" s="33" t="s">
        <v>113</v>
      </c>
    </row>
    <row r="147" spans="1:11">
      <c r="A147" s="34" t="s">
        <v>122</v>
      </c>
      <c r="B147" s="35">
        <v>1129</v>
      </c>
      <c r="C147" s="33">
        <v>9822</v>
      </c>
      <c r="D147" s="33" t="s">
        <v>100</v>
      </c>
      <c r="E147" s="37">
        <v>58.3</v>
      </c>
      <c r="F147" s="37">
        <v>98.4</v>
      </c>
      <c r="G147" s="37">
        <f>F147-E147</f>
        <v>40.100000000000009</v>
      </c>
      <c r="H147" s="38">
        <f>IF(F147&gt;50,G147*0.2,G147*0.1)</f>
        <v>8.0200000000000014</v>
      </c>
      <c r="I147" s="33" t="s">
        <v>143</v>
      </c>
      <c r="J147" s="33" t="s">
        <v>144</v>
      </c>
      <c r="K147" s="33" t="s">
        <v>113</v>
      </c>
    </row>
    <row r="148" spans="1:11">
      <c r="A148" s="34" t="s">
        <v>123</v>
      </c>
      <c r="B148" s="35">
        <v>1146</v>
      </c>
      <c r="C148" s="33">
        <v>8722</v>
      </c>
      <c r="D148" s="33" t="s">
        <v>106</v>
      </c>
      <c r="E148" s="37">
        <v>344</v>
      </c>
      <c r="F148" s="37">
        <v>502</v>
      </c>
      <c r="G148" s="37">
        <f>F148-E148</f>
        <v>158</v>
      </c>
      <c r="H148" s="38">
        <f>IF(F148&gt;50,G148*0.2,G148*0.1)</f>
        <v>31.6</v>
      </c>
      <c r="I148" s="33" t="s">
        <v>143</v>
      </c>
      <c r="J148" s="33" t="s">
        <v>144</v>
      </c>
      <c r="K148" s="33" t="s">
        <v>113</v>
      </c>
    </row>
    <row r="149" spans="1:11">
      <c r="A149" s="34" t="s">
        <v>125</v>
      </c>
      <c r="B149" s="35">
        <v>1160</v>
      </c>
      <c r="C149" s="33">
        <v>9822</v>
      </c>
      <c r="D149" s="33" t="s">
        <v>100</v>
      </c>
      <c r="E149" s="37">
        <v>58.3</v>
      </c>
      <c r="F149" s="37">
        <v>98.4</v>
      </c>
      <c r="G149" s="37">
        <f>F149-E149</f>
        <v>40.100000000000009</v>
      </c>
      <c r="H149" s="38">
        <f>IF(F149&gt;50,G149*0.2,G149*0.1)</f>
        <v>8.0200000000000014</v>
      </c>
      <c r="I149" s="33" t="s">
        <v>143</v>
      </c>
      <c r="J149" s="33" t="s">
        <v>144</v>
      </c>
      <c r="K149" s="33" t="s">
        <v>113</v>
      </c>
    </row>
    <row r="150" spans="1:11">
      <c r="A150" s="34" t="s">
        <v>111</v>
      </c>
      <c r="B150" s="35">
        <v>1020</v>
      </c>
      <c r="C150" s="33">
        <v>2499</v>
      </c>
      <c r="D150" s="33" t="s">
        <v>104</v>
      </c>
      <c r="E150" s="37">
        <v>6.2</v>
      </c>
      <c r="F150" s="37">
        <v>9.1999999999999993</v>
      </c>
      <c r="G150" s="37">
        <f>F150-E150</f>
        <v>2.9999999999999991</v>
      </c>
      <c r="H150" s="38">
        <f>IF(F150&gt;50,G150*0.2,G150*0.1)</f>
        <v>0.29999999999999993</v>
      </c>
      <c r="I150" s="33" t="s">
        <v>142</v>
      </c>
      <c r="J150" s="33" t="s">
        <v>35</v>
      </c>
      <c r="K150" s="33" t="s">
        <v>113</v>
      </c>
    </row>
    <row r="151" spans="1:11">
      <c r="A151" s="34" t="s">
        <v>118</v>
      </c>
      <c r="B151" s="35">
        <v>1054</v>
      </c>
      <c r="C151" s="33">
        <v>4421</v>
      </c>
      <c r="D151" s="33" t="s">
        <v>109</v>
      </c>
      <c r="E151" s="37">
        <v>45</v>
      </c>
      <c r="F151" s="37">
        <v>87</v>
      </c>
      <c r="G151" s="37">
        <f>F151-E151</f>
        <v>42</v>
      </c>
      <c r="H151" s="38">
        <f>IF(F151&gt;50,G151*0.2,G151*0.1)</f>
        <v>8.4</v>
      </c>
      <c r="I151" s="33" t="s">
        <v>142</v>
      </c>
      <c r="J151" s="33" t="s">
        <v>35</v>
      </c>
      <c r="K151" s="33" t="s">
        <v>113</v>
      </c>
    </row>
    <row r="152" spans="1:11">
      <c r="A152" s="34" t="s">
        <v>118</v>
      </c>
      <c r="B152" s="35">
        <v>1060</v>
      </c>
      <c r="C152" s="33">
        <v>6119</v>
      </c>
      <c r="D152" s="33" t="s">
        <v>115</v>
      </c>
      <c r="E152" s="37">
        <v>9</v>
      </c>
      <c r="F152" s="37">
        <v>14</v>
      </c>
      <c r="G152" s="37">
        <f>F152-E152</f>
        <v>5</v>
      </c>
      <c r="H152" s="38">
        <f>IF(F152&gt;50,G152*0.2,G152*0.1)</f>
        <v>0.5</v>
      </c>
      <c r="I152" s="33" t="s">
        <v>142</v>
      </c>
      <c r="J152" s="33" t="s">
        <v>35</v>
      </c>
      <c r="K152" s="33" t="s">
        <v>113</v>
      </c>
    </row>
    <row r="153" spans="1:11">
      <c r="A153" s="34" t="s">
        <v>119</v>
      </c>
      <c r="B153" s="35">
        <v>1061</v>
      </c>
      <c r="C153" s="33">
        <v>1109</v>
      </c>
      <c r="D153" s="33" t="s">
        <v>107</v>
      </c>
      <c r="E153" s="37">
        <v>3</v>
      </c>
      <c r="F153" s="37">
        <v>8</v>
      </c>
      <c r="G153" s="37">
        <f>F153-E153</f>
        <v>5</v>
      </c>
      <c r="H153" s="38">
        <f>IF(F153&gt;50,G153*0.2,G153*0.1)</f>
        <v>0.5</v>
      </c>
      <c r="I153" s="33" t="s">
        <v>142</v>
      </c>
      <c r="J153" s="33" t="s">
        <v>35</v>
      </c>
      <c r="K153" s="33" t="s">
        <v>113</v>
      </c>
    </row>
    <row r="154" spans="1:11">
      <c r="A154" s="34" t="s">
        <v>119</v>
      </c>
      <c r="B154" s="35">
        <v>1066</v>
      </c>
      <c r="C154" s="33">
        <v>2877</v>
      </c>
      <c r="D154" s="33" t="s">
        <v>102</v>
      </c>
      <c r="E154" s="37">
        <v>11.4</v>
      </c>
      <c r="F154" s="37">
        <v>16.3</v>
      </c>
      <c r="G154" s="37">
        <f>F154-E154</f>
        <v>4.9000000000000004</v>
      </c>
      <c r="H154" s="38">
        <f>IF(F154&gt;50,G154*0.2,G154*0.1)</f>
        <v>0.49000000000000005</v>
      </c>
      <c r="I154" s="33" t="s">
        <v>142</v>
      </c>
      <c r="J154" s="33" t="s">
        <v>35</v>
      </c>
      <c r="K154" s="33" t="s">
        <v>113</v>
      </c>
    </row>
    <row r="155" spans="1:11">
      <c r="A155" s="34" t="s">
        <v>119</v>
      </c>
      <c r="B155" s="35">
        <v>1072</v>
      </c>
      <c r="C155" s="33">
        <v>1109</v>
      </c>
      <c r="D155" s="33" t="s">
        <v>107</v>
      </c>
      <c r="E155" s="37">
        <v>3</v>
      </c>
      <c r="F155" s="37">
        <v>8</v>
      </c>
      <c r="G155" s="37">
        <f>F155-E155</f>
        <v>5</v>
      </c>
      <c r="H155" s="38">
        <f>IF(F155&gt;50,G155*0.2,G155*0.1)</f>
        <v>0.5</v>
      </c>
      <c r="I155" s="33" t="s">
        <v>142</v>
      </c>
      <c r="J155" s="33" t="s">
        <v>35</v>
      </c>
      <c r="K155" s="33" t="s">
        <v>113</v>
      </c>
    </row>
    <row r="156" spans="1:11">
      <c r="A156" s="34" t="s">
        <v>120</v>
      </c>
      <c r="B156" s="35">
        <v>1085</v>
      </c>
      <c r="C156" s="33">
        <v>9822</v>
      </c>
      <c r="D156" s="33" t="s">
        <v>100</v>
      </c>
      <c r="E156" s="37">
        <v>58.3</v>
      </c>
      <c r="F156" s="37">
        <v>98.4</v>
      </c>
      <c r="G156" s="37">
        <f>F156-E156</f>
        <v>40.100000000000009</v>
      </c>
      <c r="H156" s="38">
        <f>IF(F156&gt;50,G156*0.2,G156*0.1)</f>
        <v>8.0200000000000014</v>
      </c>
      <c r="I156" s="33" t="s">
        <v>142</v>
      </c>
      <c r="J156" s="33" t="s">
        <v>35</v>
      </c>
      <c r="K156" s="33" t="s">
        <v>113</v>
      </c>
    </row>
    <row r="157" spans="1:11">
      <c r="A157" s="34" t="s">
        <v>120</v>
      </c>
      <c r="B157" s="35">
        <v>1089</v>
      </c>
      <c r="C157" s="33">
        <v>6119</v>
      </c>
      <c r="D157" s="33" t="s">
        <v>115</v>
      </c>
      <c r="E157" s="37">
        <v>9</v>
      </c>
      <c r="F157" s="37">
        <v>14</v>
      </c>
      <c r="G157" s="37">
        <f>F157-E157</f>
        <v>5</v>
      </c>
      <c r="H157" s="38">
        <f>IF(F157&gt;50,G157*0.2,G157*0.1)</f>
        <v>0.5</v>
      </c>
      <c r="I157" s="33" t="s">
        <v>142</v>
      </c>
      <c r="J157" s="33" t="s">
        <v>35</v>
      </c>
      <c r="K157" s="33" t="s">
        <v>113</v>
      </c>
    </row>
    <row r="158" spans="1:11">
      <c r="A158" s="34" t="s">
        <v>121</v>
      </c>
      <c r="B158" s="35">
        <v>1104</v>
      </c>
      <c r="C158" s="33">
        <v>2877</v>
      </c>
      <c r="D158" s="33" t="s">
        <v>102</v>
      </c>
      <c r="E158" s="37">
        <v>11.4</v>
      </c>
      <c r="F158" s="37">
        <v>16.3</v>
      </c>
      <c r="G158" s="37">
        <f>F158-E158</f>
        <v>4.9000000000000004</v>
      </c>
      <c r="H158" s="38">
        <f>IF(F158&gt;50,G158*0.2,G158*0.1)</f>
        <v>0.49000000000000005</v>
      </c>
      <c r="I158" s="33" t="s">
        <v>142</v>
      </c>
      <c r="J158" s="33" t="s">
        <v>35</v>
      </c>
      <c r="K158" s="33" t="s">
        <v>113</v>
      </c>
    </row>
    <row r="159" spans="1:11">
      <c r="A159" s="34" t="s">
        <v>121</v>
      </c>
      <c r="B159" s="35">
        <v>1108</v>
      </c>
      <c r="C159" s="33">
        <v>9822</v>
      </c>
      <c r="D159" s="33" t="s">
        <v>100</v>
      </c>
      <c r="E159" s="37">
        <v>58.3</v>
      </c>
      <c r="F159" s="37">
        <v>98.4</v>
      </c>
      <c r="G159" s="37">
        <f>F159-E159</f>
        <v>40.100000000000009</v>
      </c>
      <c r="H159" s="38">
        <f>IF(F159&gt;50,G159*0.2,G159*0.1)</f>
        <v>8.0200000000000014</v>
      </c>
      <c r="I159" s="33" t="s">
        <v>142</v>
      </c>
      <c r="J159" s="33" t="s">
        <v>35</v>
      </c>
      <c r="K159" s="33" t="s">
        <v>113</v>
      </c>
    </row>
    <row r="160" spans="1:11">
      <c r="A160" s="34" t="s">
        <v>121</v>
      </c>
      <c r="B160" s="35">
        <v>1116</v>
      </c>
      <c r="C160" s="33">
        <v>6622</v>
      </c>
      <c r="D160" s="33" t="s">
        <v>117</v>
      </c>
      <c r="E160" s="37">
        <v>42</v>
      </c>
      <c r="F160" s="37">
        <v>77</v>
      </c>
      <c r="G160" s="37">
        <f>F160-E160</f>
        <v>35</v>
      </c>
      <c r="H160" s="38">
        <f>IF(F160&gt;50,G160*0.2,G160*0.1)</f>
        <v>7</v>
      </c>
      <c r="I160" s="33" t="s">
        <v>142</v>
      </c>
      <c r="J160" s="33" t="s">
        <v>35</v>
      </c>
      <c r="K160" s="33" t="s">
        <v>113</v>
      </c>
    </row>
    <row r="161" spans="1:11">
      <c r="A161" s="34" t="s">
        <v>121</v>
      </c>
      <c r="B161" s="35">
        <v>1121</v>
      </c>
      <c r="C161" s="33">
        <v>4421</v>
      </c>
      <c r="D161" s="33" t="s">
        <v>109</v>
      </c>
      <c r="E161" s="37">
        <v>45</v>
      </c>
      <c r="F161" s="37">
        <v>87</v>
      </c>
      <c r="G161" s="37">
        <f>F161-E161</f>
        <v>42</v>
      </c>
      <c r="H161" s="38">
        <f>IF(F161&gt;50,G161*0.2,G161*0.1)</f>
        <v>8.4</v>
      </c>
      <c r="I161" s="33" t="s">
        <v>142</v>
      </c>
      <c r="J161" s="33" t="s">
        <v>35</v>
      </c>
      <c r="K161" s="33" t="s">
        <v>113</v>
      </c>
    </row>
    <row r="162" spans="1:11">
      <c r="A162" s="34" t="s">
        <v>121</v>
      </c>
      <c r="B162" s="35">
        <v>1123</v>
      </c>
      <c r="C162" s="33">
        <v>9822</v>
      </c>
      <c r="D162" s="33" t="s">
        <v>100</v>
      </c>
      <c r="E162" s="37">
        <v>58.3</v>
      </c>
      <c r="F162" s="37">
        <v>98.4</v>
      </c>
      <c r="G162" s="37">
        <f>F162-E162</f>
        <v>40.100000000000009</v>
      </c>
      <c r="H162" s="38">
        <f>IF(F162&gt;50,G162*0.2,G162*0.1)</f>
        <v>8.0200000000000014</v>
      </c>
      <c r="I162" s="33" t="s">
        <v>142</v>
      </c>
      <c r="J162" s="33" t="s">
        <v>35</v>
      </c>
      <c r="K162" s="33" t="s">
        <v>113</v>
      </c>
    </row>
    <row r="163" spans="1:11">
      <c r="A163" s="34" t="s">
        <v>125</v>
      </c>
      <c r="B163" s="35">
        <v>1166</v>
      </c>
      <c r="C163" s="33">
        <v>8722</v>
      </c>
      <c r="D163" s="33" t="s">
        <v>106</v>
      </c>
      <c r="E163" s="37">
        <v>344</v>
      </c>
      <c r="F163" s="37">
        <v>502</v>
      </c>
      <c r="G163" s="37">
        <f>F163-E163</f>
        <v>158</v>
      </c>
      <c r="H163" s="38">
        <f>IF(F163&gt;50,G163*0.2,G163*0.1)</f>
        <v>31.6</v>
      </c>
      <c r="I163" s="33" t="s">
        <v>142</v>
      </c>
      <c r="J163" s="33" t="s">
        <v>35</v>
      </c>
      <c r="K163" s="33" t="s">
        <v>113</v>
      </c>
    </row>
    <row r="164" spans="1:11">
      <c r="A164" s="34" t="s">
        <v>121</v>
      </c>
      <c r="B164" s="35">
        <v>1100</v>
      </c>
      <c r="C164" s="33">
        <v>6119</v>
      </c>
      <c r="D164" s="33" t="s">
        <v>115</v>
      </c>
      <c r="E164" s="37">
        <v>9</v>
      </c>
      <c r="F164" s="37">
        <v>14</v>
      </c>
      <c r="G164" s="37">
        <f>F164-E164</f>
        <v>5</v>
      </c>
      <c r="H164" s="38">
        <f>IF(F164&gt;50,G164*0.2,G164*0.1)</f>
        <v>0.5</v>
      </c>
      <c r="I164" s="33" t="s">
        <v>138</v>
      </c>
      <c r="J164" s="33" t="s">
        <v>139</v>
      </c>
      <c r="K164" s="33" t="s">
        <v>114</v>
      </c>
    </row>
    <row r="165" spans="1:11">
      <c r="A165" s="34" t="s">
        <v>121</v>
      </c>
      <c r="B165" s="35">
        <v>1119</v>
      </c>
      <c r="C165" s="33">
        <v>2242</v>
      </c>
      <c r="D165" s="33" t="s">
        <v>112</v>
      </c>
      <c r="E165" s="37">
        <v>60</v>
      </c>
      <c r="F165" s="37">
        <v>124</v>
      </c>
      <c r="G165" s="37">
        <f>F165-E165</f>
        <v>64</v>
      </c>
      <c r="H165" s="38">
        <f>IF(F165&gt;50,G165*0.2,G165*0.1)</f>
        <v>12.8</v>
      </c>
      <c r="I165" s="33" t="s">
        <v>138</v>
      </c>
      <c r="J165" s="33" t="s">
        <v>139</v>
      </c>
      <c r="K165" s="33" t="s">
        <v>114</v>
      </c>
    </row>
    <row r="166" spans="1:11">
      <c r="A166" s="34" t="s">
        <v>122</v>
      </c>
      <c r="B166" s="35">
        <v>1138</v>
      </c>
      <c r="C166" s="33">
        <v>8722</v>
      </c>
      <c r="D166" s="33" t="s">
        <v>106</v>
      </c>
      <c r="E166" s="37">
        <v>344</v>
      </c>
      <c r="F166" s="37">
        <v>502</v>
      </c>
      <c r="G166" s="37">
        <f>F166-E166</f>
        <v>158</v>
      </c>
      <c r="H166" s="38">
        <f>IF(F166&gt;50,G166*0.2,G166*0.1)</f>
        <v>31.6</v>
      </c>
      <c r="I166" s="33" t="s">
        <v>138</v>
      </c>
      <c r="J166" s="33" t="s">
        <v>139</v>
      </c>
      <c r="K166" s="33" t="s">
        <v>114</v>
      </c>
    </row>
    <row r="167" spans="1:11">
      <c r="A167" s="34" t="s">
        <v>111</v>
      </c>
      <c r="B167" s="35">
        <v>1024</v>
      </c>
      <c r="C167" s="33">
        <v>9212</v>
      </c>
      <c r="D167" s="33" t="s">
        <v>110</v>
      </c>
      <c r="E167" s="37">
        <v>4</v>
      </c>
      <c r="F167" s="37">
        <v>7</v>
      </c>
      <c r="G167" s="37">
        <f>F167-E167</f>
        <v>3</v>
      </c>
      <c r="H167" s="38">
        <f>IF(F167&gt;50,G167*0.2,G167*0.1)</f>
        <v>0.30000000000000004</v>
      </c>
      <c r="I167" s="33" t="s">
        <v>140</v>
      </c>
      <c r="J167" s="33" t="s">
        <v>141</v>
      </c>
      <c r="K167" s="33" t="s">
        <v>114</v>
      </c>
    </row>
    <row r="168" spans="1:11">
      <c r="A168" s="34" t="s">
        <v>116</v>
      </c>
      <c r="B168" s="35">
        <v>1046</v>
      </c>
      <c r="C168" s="33">
        <v>6119</v>
      </c>
      <c r="D168" s="33" t="s">
        <v>115</v>
      </c>
      <c r="E168" s="37">
        <v>9</v>
      </c>
      <c r="F168" s="37">
        <v>14</v>
      </c>
      <c r="G168" s="37">
        <f>F168-E168</f>
        <v>5</v>
      </c>
      <c r="H168" s="38">
        <f>IF(F168&gt;50,G168*0.2,G168*0.1)</f>
        <v>0.5</v>
      </c>
      <c r="I168" s="33" t="s">
        <v>140</v>
      </c>
      <c r="J168" s="33" t="s">
        <v>141</v>
      </c>
      <c r="K168" s="33" t="s">
        <v>114</v>
      </c>
    </row>
    <row r="169" spans="1:11">
      <c r="A169" s="34" t="s">
        <v>111</v>
      </c>
      <c r="B169" s="35">
        <v>1022</v>
      </c>
      <c r="C169" s="33">
        <v>2877</v>
      </c>
      <c r="D169" s="33" t="s">
        <v>102</v>
      </c>
      <c r="E169" s="37">
        <v>11.4</v>
      </c>
      <c r="F169" s="37">
        <v>16.3</v>
      </c>
      <c r="G169" s="37">
        <f>F169-E169</f>
        <v>4.9000000000000004</v>
      </c>
      <c r="H169" s="38">
        <f>IF(F169&gt;50,G169*0.2,G169*0.1)</f>
        <v>0.49000000000000005</v>
      </c>
      <c r="I169" s="33" t="s">
        <v>142</v>
      </c>
      <c r="J169" s="33" t="s">
        <v>35</v>
      </c>
      <c r="K169" s="33" t="s">
        <v>114</v>
      </c>
    </row>
    <row r="170" spans="1:11">
      <c r="A170" s="34" t="s">
        <v>118</v>
      </c>
      <c r="B170" s="35">
        <v>1051</v>
      </c>
      <c r="C170" s="33">
        <v>6119</v>
      </c>
      <c r="D170" s="33" t="s">
        <v>115</v>
      </c>
      <c r="E170" s="37">
        <v>9</v>
      </c>
      <c r="F170" s="37">
        <v>14</v>
      </c>
      <c r="G170" s="37">
        <f>F170-E170</f>
        <v>5</v>
      </c>
      <c r="H170" s="38">
        <f>IF(F170&gt;50,G170*0.2,G170*0.1)</f>
        <v>0.5</v>
      </c>
      <c r="I170" s="33" t="s">
        <v>142</v>
      </c>
      <c r="J170" s="33" t="s">
        <v>35</v>
      </c>
      <c r="K170" s="33" t="s">
        <v>114</v>
      </c>
    </row>
    <row r="171" spans="1:11">
      <c r="A171" s="34" t="s">
        <v>119</v>
      </c>
      <c r="B171" s="35">
        <v>1067</v>
      </c>
      <c r="C171" s="33">
        <v>2877</v>
      </c>
      <c r="D171" s="33" t="s">
        <v>102</v>
      </c>
      <c r="E171" s="37">
        <v>11.4</v>
      </c>
      <c r="F171" s="37">
        <v>16.3</v>
      </c>
      <c r="G171" s="37">
        <f>F171-E171</f>
        <v>4.9000000000000004</v>
      </c>
      <c r="H171" s="38">
        <f>IF(F171&gt;50,G171*0.2,G171*0.1)</f>
        <v>0.49000000000000005</v>
      </c>
      <c r="I171" s="33" t="s">
        <v>142</v>
      </c>
      <c r="J171" s="33" t="s">
        <v>35</v>
      </c>
      <c r="K171" s="33" t="s">
        <v>114</v>
      </c>
    </row>
    <row r="172" spans="1:11">
      <c r="A172" s="34" t="s">
        <v>120</v>
      </c>
      <c r="B172" s="35">
        <v>1081</v>
      </c>
      <c r="C172" s="33">
        <v>6119</v>
      </c>
      <c r="D172" s="33" t="s">
        <v>115</v>
      </c>
      <c r="E172" s="37">
        <v>9</v>
      </c>
      <c r="F172" s="37">
        <v>14</v>
      </c>
      <c r="G172" s="37">
        <f>F172-E172</f>
        <v>5</v>
      </c>
      <c r="H172" s="38">
        <f>IF(F172&gt;50,G172*0.2,G172*0.1)</f>
        <v>0.5</v>
      </c>
      <c r="I172" s="33" t="s">
        <v>142</v>
      </c>
      <c r="J172" s="33" t="s">
        <v>35</v>
      </c>
      <c r="K172" s="33" t="s">
        <v>114</v>
      </c>
    </row>
    <row r="173" spans="1:11">
      <c r="A173" s="34" t="s">
        <v>124</v>
      </c>
      <c r="B173" s="35">
        <v>1150</v>
      </c>
      <c r="C173" s="33">
        <v>2242</v>
      </c>
      <c r="D173" s="33" t="s">
        <v>112</v>
      </c>
      <c r="E173" s="37">
        <v>60</v>
      </c>
      <c r="F173" s="37">
        <v>124</v>
      </c>
      <c r="G173" s="37">
        <f>F173-E173</f>
        <v>64</v>
      </c>
      <c r="H173" s="38">
        <f>IF(F173&gt;50,G173*0.2,G173*0.1)</f>
        <v>12.8</v>
      </c>
      <c r="I173" s="33" t="s">
        <v>142</v>
      </c>
      <c r="J173" s="33" t="s">
        <v>35</v>
      </c>
      <c r="K173" s="33" t="s">
        <v>114</v>
      </c>
    </row>
    <row r="174" spans="1:11">
      <c r="A174" s="34" t="s">
        <v>126</v>
      </c>
      <c r="B174" s="35">
        <v>1169</v>
      </c>
      <c r="C174" s="33">
        <v>8722</v>
      </c>
      <c r="D174" s="33" t="s">
        <v>106</v>
      </c>
      <c r="E174" s="37">
        <v>344</v>
      </c>
      <c r="F174" s="37">
        <v>502</v>
      </c>
      <c r="G174" s="37">
        <f>F174-E174</f>
        <v>158</v>
      </c>
      <c r="H174" s="38">
        <f>IF(F174&gt;50,G174*0.2,G174*0.1)</f>
        <v>31.6</v>
      </c>
      <c r="I174" s="33" t="s">
        <v>142</v>
      </c>
      <c r="J174" s="33" t="s">
        <v>35</v>
      </c>
      <c r="K174" s="33" t="s">
        <v>114</v>
      </c>
    </row>
    <row r="176" spans="1:11">
      <c r="A176" s="33" t="s">
        <v>145</v>
      </c>
      <c r="F176" s="37">
        <f>SUM(F4:F174)</f>
        <v>17110.599999999991</v>
      </c>
    </row>
    <row r="177" spans="1:6">
      <c r="A177" s="33" t="s">
        <v>146</v>
      </c>
      <c r="F177" s="37">
        <f>SUMIF(F4:F174,"&gt;50")</f>
        <v>16088.399999999994</v>
      </c>
    </row>
    <row r="178" spans="1:6">
      <c r="A178" s="33" t="s">
        <v>147</v>
      </c>
      <c r="F178" s="37">
        <f>SUMIF(F4:F174,"&lt;50")</f>
        <v>1022.1999999999998</v>
      </c>
    </row>
  </sheetData>
  <autoFilter ref="A3:K174" xr:uid="{6D3349F0-F4F1-451B-8EF9-7E6A03D9A0B4}"/>
  <sortState xmlns:xlrd2="http://schemas.microsoft.com/office/spreadsheetml/2017/richdata2" ref="A4:K174">
    <sortCondition ref="K4:K174"/>
  </sortState>
  <dataConsolidate topLabels="1">
    <dataRefs count="1">
      <dataRef ref="A2:G59" sheet="Sheet1" r:id="rId1"/>
    </dataRefs>
  </dataConsolidate>
  <pageMargins left="0.75" right="0.75" top="1" bottom="1" header="0.5" footer="0.5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748A-14DB-4395-B385-5BEB14077DC3}">
  <dimension ref="A3:B8"/>
  <sheetViews>
    <sheetView workbookViewId="0">
      <selection activeCell="F20" sqref="F20"/>
    </sheetView>
  </sheetViews>
  <sheetFormatPr defaultRowHeight="14.5"/>
  <cols>
    <col min="1" max="1" width="12.36328125" bestFit="1" customWidth="1"/>
    <col min="2" max="2" width="15.08984375" bestFit="1" customWidth="1"/>
  </cols>
  <sheetData>
    <row r="3" spans="1:2">
      <c r="A3" s="40" t="s">
        <v>148</v>
      </c>
      <c r="B3" t="s">
        <v>150</v>
      </c>
    </row>
    <row r="4" spans="1:2">
      <c r="A4" s="41" t="s">
        <v>139</v>
      </c>
      <c r="B4" s="5">
        <v>6003.5</v>
      </c>
    </row>
    <row r="5" spans="1:2">
      <c r="A5" s="41" t="s">
        <v>141</v>
      </c>
      <c r="B5" s="5">
        <v>2410.7000000000003</v>
      </c>
    </row>
    <row r="6" spans="1:2">
      <c r="A6" s="41" t="s">
        <v>144</v>
      </c>
      <c r="B6" s="5">
        <v>3035.3</v>
      </c>
    </row>
    <row r="7" spans="1:2">
      <c r="A7" s="41" t="s">
        <v>35</v>
      </c>
      <c r="B7" s="5">
        <v>5661.1</v>
      </c>
    </row>
    <row r="8" spans="1:2">
      <c r="A8" s="41" t="s">
        <v>149</v>
      </c>
      <c r="B8" s="5">
        <v>17110.599999999999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1DB5-4503-47A0-9230-5B831585B6D0}">
  <dimension ref="A1:R66"/>
  <sheetViews>
    <sheetView zoomScale="104" zoomScaleNormal="104" workbookViewId="0">
      <selection activeCell="P6" sqref="P6"/>
    </sheetView>
  </sheetViews>
  <sheetFormatPr defaultRowHeight="14.5"/>
  <cols>
    <col min="1" max="1" width="14.26953125" customWidth="1"/>
    <col min="3" max="3" width="15.7265625" customWidth="1"/>
    <col min="7" max="7" width="10.36328125" bestFit="1" customWidth="1"/>
    <col min="8" max="8" width="11.6328125" style="44" bestFit="1" customWidth="1"/>
    <col min="9" max="9" width="9" style="44" bestFit="1" customWidth="1"/>
  </cols>
  <sheetData>
    <row r="1" spans="1:18" ht="43.5">
      <c r="A1" s="42" t="s">
        <v>151</v>
      </c>
      <c r="B1" s="42" t="s">
        <v>152</v>
      </c>
      <c r="C1" s="42" t="s">
        <v>153</v>
      </c>
      <c r="D1" s="42" t="s">
        <v>154</v>
      </c>
      <c r="E1" s="42" t="s">
        <v>155</v>
      </c>
      <c r="F1" s="42" t="s">
        <v>156</v>
      </c>
      <c r="G1" s="42" t="s">
        <v>157</v>
      </c>
      <c r="H1" s="43" t="s">
        <v>158</v>
      </c>
      <c r="I1" s="43" t="s">
        <v>159</v>
      </c>
      <c r="J1" s="42" t="s">
        <v>160</v>
      </c>
      <c r="K1" s="42" t="s">
        <v>161</v>
      </c>
      <c r="L1" s="42" t="s">
        <v>162</v>
      </c>
      <c r="M1" s="42" t="s">
        <v>163</v>
      </c>
      <c r="N1" s="42" t="s">
        <v>164</v>
      </c>
      <c r="R1" t="s">
        <v>277</v>
      </c>
    </row>
    <row r="2" spans="1:18">
      <c r="A2" t="s">
        <v>198</v>
      </c>
      <c r="B2" t="str">
        <f>LEFT(A2,2)</f>
        <v>TY</v>
      </c>
      <c r="C2" t="str">
        <f>VLOOKUP(B2,B$56:C$61,2)</f>
        <v>Toyota</v>
      </c>
      <c r="D2" t="str">
        <f>MID(A2,5,3)</f>
        <v>CAM</v>
      </c>
      <c r="E2" t="str">
        <f>VLOOKUP(D2,D$56:E$66,2)</f>
        <v>Camrey</v>
      </c>
      <c r="F2" t="str">
        <f>MID(A2,3,2)</f>
        <v>96</v>
      </c>
      <c r="G2" s="2">
        <f ca="1">IF((RIGHT(YEAR(TODAY()),2)-F2)&lt;0,(100-F2)+RIGHT(YEAR(TODAY()),2),(RIGHT(YEAR(TODAY()),2)-F2))</f>
        <v>27</v>
      </c>
      <c r="H2" s="44">
        <v>114660.6</v>
      </c>
      <c r="I2" s="44">
        <f ca="1">H2/G2</f>
        <v>4246.6888888888889</v>
      </c>
      <c r="J2" t="s">
        <v>171</v>
      </c>
      <c r="K2" t="s">
        <v>199</v>
      </c>
      <c r="L2">
        <v>100000</v>
      </c>
      <c r="M2" t="str">
        <f>IF(H2&lt;L2,"Y","Not Covered")</f>
        <v>Not Covered</v>
      </c>
      <c r="N2" t="str">
        <f>_xlfn.CONCAT(B2,F2,D2,UPPER(LEFT(J2,3)),RIGHT(A2,3))</f>
        <v>TY96CAMGRE020</v>
      </c>
      <c r="R2" t="s">
        <v>276</v>
      </c>
    </row>
    <row r="3" spans="1:18">
      <c r="A3" t="s">
        <v>227</v>
      </c>
      <c r="B3" t="str">
        <f>LEFT(A3,2)</f>
        <v>CR</v>
      </c>
      <c r="C3" t="str">
        <f>VLOOKUP(B3,B$56:C$61,2)</f>
        <v>Chrysler</v>
      </c>
      <c r="D3" t="str">
        <f>MID(A3,5,3)</f>
        <v>CAR</v>
      </c>
      <c r="E3" t="str">
        <f>VLOOKUP(D3,D$56:E$66,2)</f>
        <v>Caravan</v>
      </c>
      <c r="F3" t="str">
        <f>MID(A3,3,2)</f>
        <v>04</v>
      </c>
      <c r="G3" s="2">
        <f ca="1">IF((RIGHT(YEAR(TODAY()),2)-F3)&lt;0,(100-F3)+RIGHT(YEAR(TODAY()),2),(RIGHT(YEAR(TODAY()),2)-F3))</f>
        <v>19</v>
      </c>
      <c r="H3" s="44">
        <v>72527.199999999997</v>
      </c>
      <c r="I3" s="44">
        <f ca="1">H3/G3</f>
        <v>3817.2210526315789</v>
      </c>
      <c r="J3" t="s">
        <v>168</v>
      </c>
      <c r="K3" t="s">
        <v>190</v>
      </c>
      <c r="L3">
        <v>75000</v>
      </c>
      <c r="M3" t="str">
        <f>IF(H3&lt;L3,"Y","Not Covered")</f>
        <v>Y</v>
      </c>
      <c r="N3" t="str">
        <f>_xlfn.CONCAT(B3,F3,D3,UPPER(LEFT(J3,3)),RIGHT(A3,3))</f>
        <v>CR04CARWHI047</v>
      </c>
      <c r="R3" t="s">
        <v>271</v>
      </c>
    </row>
    <row r="4" spans="1:18">
      <c r="A4" t="s">
        <v>202</v>
      </c>
      <c r="B4" t="str">
        <f>LEFT(A4,2)</f>
        <v>TY</v>
      </c>
      <c r="C4" t="str">
        <f>VLOOKUP(B4,B$56:C$61,2)</f>
        <v>Toyota</v>
      </c>
      <c r="D4" t="str">
        <f>MID(A4,5,3)</f>
        <v>CAM</v>
      </c>
      <c r="E4" t="str">
        <f>VLOOKUP(D4,D$56:E$66,2)</f>
        <v>Camrey</v>
      </c>
      <c r="F4" t="str">
        <f>MID(A4,3,2)</f>
        <v>00</v>
      </c>
      <c r="G4" s="2">
        <f ca="1">IF((RIGHT(YEAR(TODAY()),2)-F4)&lt;0,(100-F4)+RIGHT(YEAR(TODAY()),2),(RIGHT(YEAR(TODAY()),2)-F4))</f>
        <v>23</v>
      </c>
      <c r="H4" s="44">
        <v>85928</v>
      </c>
      <c r="I4" s="44">
        <f ca="1">H4/G4</f>
        <v>3736</v>
      </c>
      <c r="J4" t="s">
        <v>171</v>
      </c>
      <c r="K4" t="s">
        <v>176</v>
      </c>
      <c r="L4">
        <v>100000</v>
      </c>
      <c r="M4" t="str">
        <f>IF(H4&lt;L4,"Y","Not Covered")</f>
        <v>Y</v>
      </c>
      <c r="N4" t="str">
        <f>_xlfn.CONCAT(B4,F4,D4,UPPER(LEFT(J4,3)),RIGHT(A4,3))</f>
        <v>TY00CAMGRE022</v>
      </c>
      <c r="R4" t="s">
        <v>272</v>
      </c>
    </row>
    <row r="5" spans="1:18">
      <c r="A5" t="s">
        <v>200</v>
      </c>
      <c r="B5" t="str">
        <f>LEFT(A5,2)</f>
        <v>TY</v>
      </c>
      <c r="C5" t="str">
        <f>VLOOKUP(B5,B$56:C$61,2)</f>
        <v>Toyota</v>
      </c>
      <c r="D5" t="str">
        <f>MID(A5,5,3)</f>
        <v>CAM</v>
      </c>
      <c r="E5" t="str">
        <f>VLOOKUP(D5,D$56:E$66,2)</f>
        <v>Camrey</v>
      </c>
      <c r="F5" t="str">
        <f>MID(A5,3,2)</f>
        <v>98</v>
      </c>
      <c r="G5" s="2">
        <f ca="1">IF((RIGHT(YEAR(TODAY()),2)-F5)&lt;0,(100-F5)+RIGHT(YEAR(TODAY()),2),(RIGHT(YEAR(TODAY()),2)-F5))</f>
        <v>25</v>
      </c>
      <c r="H5" s="44">
        <v>93382.6</v>
      </c>
      <c r="I5" s="44">
        <f ca="1">H5/G5</f>
        <v>3735.3040000000001</v>
      </c>
      <c r="J5" t="s">
        <v>166</v>
      </c>
      <c r="K5" t="s">
        <v>201</v>
      </c>
      <c r="L5">
        <v>100000</v>
      </c>
      <c r="M5" t="str">
        <f>IF(H5&lt;L5,"Y","Not Covered")</f>
        <v>Y</v>
      </c>
      <c r="N5" t="str">
        <f>_xlfn.CONCAT(B5,F5,D5,UPPER(LEFT(J5,3)),RIGHT(A5,3))</f>
        <v>TY98CAMBLA021</v>
      </c>
      <c r="R5" t="s">
        <v>273</v>
      </c>
    </row>
    <row r="6" spans="1:18">
      <c r="A6" t="s">
        <v>208</v>
      </c>
      <c r="B6" t="str">
        <f>LEFT(A6,2)</f>
        <v>TY</v>
      </c>
      <c r="C6" t="str">
        <f>VLOOKUP(B6,B$56:C$61,2)</f>
        <v>Toyota</v>
      </c>
      <c r="D6" t="str">
        <f>MID(A6,5,3)</f>
        <v>COR</v>
      </c>
      <c r="E6" t="str">
        <f>VLOOKUP(D6,D$56:E$66,2)</f>
        <v>Corola</v>
      </c>
      <c r="F6" t="str">
        <f>MID(A6,3,2)</f>
        <v>03</v>
      </c>
      <c r="G6" s="2">
        <f ca="1">IF((RIGHT(YEAR(TODAY()),2)-F6)&lt;0,(100-F6)+RIGHT(YEAR(TODAY()),2),(RIGHT(YEAR(TODAY()),2)-F6))</f>
        <v>20</v>
      </c>
      <c r="H6" s="44">
        <v>73444.399999999994</v>
      </c>
      <c r="I6" s="44">
        <f ca="1">H6/G6</f>
        <v>3672.22</v>
      </c>
      <c r="J6" t="s">
        <v>166</v>
      </c>
      <c r="K6" t="s">
        <v>207</v>
      </c>
      <c r="L6">
        <v>100000</v>
      </c>
      <c r="M6" t="str">
        <f>IF(H6&lt;L6,"Y","Not Covered")</f>
        <v>Y</v>
      </c>
      <c r="N6" t="str">
        <f>_xlfn.CONCAT(B6,F6,D6,UPPER(LEFT(J6,3)),RIGHT(A6,3))</f>
        <v>TY03CORBLA026</v>
      </c>
      <c r="R6" t="s">
        <v>274</v>
      </c>
    </row>
    <row r="7" spans="1:18">
      <c r="A7" t="s">
        <v>196</v>
      </c>
      <c r="B7" t="str">
        <f>LEFT(A7,2)</f>
        <v>GM</v>
      </c>
      <c r="C7" t="str">
        <f>VLOOKUP(B7,B$56:C$61,2)</f>
        <v>General Mortors</v>
      </c>
      <c r="D7" t="str">
        <f>MID(A7,5,3)</f>
        <v>SLV</v>
      </c>
      <c r="E7" t="str">
        <f>VLOOKUP(D7,D$56:E$66,2)</f>
        <v>Silverado</v>
      </c>
      <c r="F7" t="str">
        <f>MID(A7,3,2)</f>
        <v>00</v>
      </c>
      <c r="G7" s="2">
        <f ca="1">IF((RIGHT(YEAR(TODAY()),2)-F7)&lt;0,(100-F7)+RIGHT(YEAR(TODAY()),2),(RIGHT(YEAR(TODAY()),2)-F7))</f>
        <v>23</v>
      </c>
      <c r="H7" s="44">
        <v>80685.8</v>
      </c>
      <c r="I7" s="44">
        <f ca="1">H7/G7</f>
        <v>3508.0782608695654</v>
      </c>
      <c r="J7" t="s">
        <v>197</v>
      </c>
      <c r="K7" t="s">
        <v>185</v>
      </c>
      <c r="L7">
        <v>100000</v>
      </c>
      <c r="M7" t="str">
        <f>IF(H7&lt;L7,"Y","Not Covered")</f>
        <v>Y</v>
      </c>
      <c r="N7" t="str">
        <f>_xlfn.CONCAT(B7,F7,D7,UPPER(LEFT(J7,3)),RIGHT(A7,3))</f>
        <v>GM00SLVBLU019</v>
      </c>
      <c r="R7" t="s">
        <v>275</v>
      </c>
    </row>
    <row r="8" spans="1:18">
      <c r="A8" t="s">
        <v>204</v>
      </c>
      <c r="B8" t="str">
        <f>LEFT(A8,2)</f>
        <v>TY</v>
      </c>
      <c r="C8" t="str">
        <f>VLOOKUP(B8,B$56:C$61,2)</f>
        <v>Toyota</v>
      </c>
      <c r="D8" t="str">
        <f>MID(A8,5,3)</f>
        <v>CAM</v>
      </c>
      <c r="E8" t="str">
        <f>VLOOKUP(D8,D$56:E$66,2)</f>
        <v>Camrey</v>
      </c>
      <c r="F8" t="str">
        <f>MID(A8,3,2)</f>
        <v>09</v>
      </c>
      <c r="G8" s="2">
        <f ca="1">IF((RIGHT(YEAR(TODAY()),2)-F8)&lt;0,(100-F8)+RIGHT(YEAR(TODAY()),2),(RIGHT(YEAR(TODAY()),2)-F8))</f>
        <v>14</v>
      </c>
      <c r="H8" s="44">
        <v>48114.2</v>
      </c>
      <c r="I8" s="44">
        <f ca="1">H8/G8</f>
        <v>3436.7285714285713</v>
      </c>
      <c r="J8" t="s">
        <v>168</v>
      </c>
      <c r="K8" t="s">
        <v>29</v>
      </c>
      <c r="L8">
        <v>100000</v>
      </c>
      <c r="M8" t="str">
        <f>IF(H8&lt;L8,"Y","Not Covered")</f>
        <v>Y</v>
      </c>
      <c r="N8" t="str">
        <f>_xlfn.CONCAT(B8,F8,D8,UPPER(LEFT(J8,3)),RIGHT(A8,3))</f>
        <v>TY09CAMWHI024</v>
      </c>
      <c r="R8" t="s">
        <v>131</v>
      </c>
    </row>
    <row r="9" spans="1:18">
      <c r="A9" t="s">
        <v>212</v>
      </c>
      <c r="B9" t="str">
        <f>LEFT(A9,2)</f>
        <v>HO</v>
      </c>
      <c r="C9" t="str">
        <f>VLOOKUP(B9,B$56:C$61,2)</f>
        <v>Honda</v>
      </c>
      <c r="D9" t="str">
        <f>MID(A9,5,3)</f>
        <v>CIV</v>
      </c>
      <c r="E9" t="str">
        <f>VLOOKUP(D9,D$56:E$66,2)</f>
        <v>Civic</v>
      </c>
      <c r="F9" t="str">
        <f>MID(A9,3,2)</f>
        <v>99</v>
      </c>
      <c r="G9" s="2">
        <f ca="1">IF((RIGHT(YEAR(TODAY()),2)-F9)&lt;0,(100-F9)+RIGHT(YEAR(TODAY()),2),(RIGHT(YEAR(TODAY()),2)-F9))</f>
        <v>24</v>
      </c>
      <c r="H9" s="44">
        <v>82374</v>
      </c>
      <c r="I9" s="44">
        <f ca="1">H9/G9</f>
        <v>3432.25</v>
      </c>
      <c r="J9" t="s">
        <v>168</v>
      </c>
      <c r="K9" t="s">
        <v>187</v>
      </c>
      <c r="L9">
        <v>75000</v>
      </c>
      <c r="M9" t="str">
        <f>IF(H9&lt;L9,"Y","Not Covered")</f>
        <v>Not Covered</v>
      </c>
      <c r="N9" t="str">
        <f>_xlfn.CONCAT(B9,F9,D9,UPPER(LEFT(J9,3)),RIGHT(A9,3))</f>
        <v>HO99CIVWHI030</v>
      </c>
      <c r="R9" t="s">
        <v>279</v>
      </c>
    </row>
    <row r="10" spans="1:18">
      <c r="A10" t="s">
        <v>222</v>
      </c>
      <c r="B10" t="str">
        <f>LEFT(A10,2)</f>
        <v>CR</v>
      </c>
      <c r="C10" t="str">
        <f>VLOOKUP(B10,B$56:C$61,2)</f>
        <v>Chrysler</v>
      </c>
      <c r="D10" t="str">
        <f>MID(A10,5,3)</f>
        <v>PTC</v>
      </c>
      <c r="E10" t="str">
        <f>VLOOKUP(D10,D$56:E$66,2)</f>
        <v>PT Cruiser</v>
      </c>
      <c r="F10" t="str">
        <f>MID(A10,3,2)</f>
        <v>04</v>
      </c>
      <c r="G10" s="2">
        <f ca="1">IF((RIGHT(YEAR(TODAY()),2)-F10)&lt;0,(100-F10)+RIGHT(YEAR(TODAY()),2),(RIGHT(YEAR(TODAY()),2)-F10))</f>
        <v>19</v>
      </c>
      <c r="H10" s="44">
        <v>64542</v>
      </c>
      <c r="I10" s="44">
        <f ca="1">H10/G10</f>
        <v>3396.9473684210525</v>
      </c>
      <c r="J10" t="s">
        <v>197</v>
      </c>
      <c r="K10" t="s">
        <v>35</v>
      </c>
      <c r="L10">
        <v>75000</v>
      </c>
      <c r="M10" t="str">
        <f>IF(H10&lt;L10,"Y","Not Covered")</f>
        <v>Y</v>
      </c>
      <c r="N10" t="str">
        <f>_xlfn.CONCAT(B10,F10,D10,UPPER(LEFT(J10,3)),RIGHT(A10,3))</f>
        <v>CR04PTCBLU042</v>
      </c>
      <c r="R10" t="s">
        <v>280</v>
      </c>
    </row>
    <row r="11" spans="1:18">
      <c r="A11" t="s">
        <v>226</v>
      </c>
      <c r="B11" t="str">
        <f>LEFT(A11,2)</f>
        <v>CR</v>
      </c>
      <c r="C11" t="str">
        <f>VLOOKUP(B11,B$56:C$61,2)</f>
        <v>Chrysler</v>
      </c>
      <c r="D11" t="str">
        <f>MID(A11,5,3)</f>
        <v>CAR</v>
      </c>
      <c r="E11" t="str">
        <f>VLOOKUP(D11,D$56:E$66,2)</f>
        <v>Caravan</v>
      </c>
      <c r="F11" t="str">
        <f>MID(A11,3,2)</f>
        <v>00</v>
      </c>
      <c r="G11" s="2">
        <f ca="1">IF((RIGHT(YEAR(TODAY()),2)-F11)&lt;0,(100-F11)+RIGHT(YEAR(TODAY()),2),(RIGHT(YEAR(TODAY()),2)-F11))</f>
        <v>23</v>
      </c>
      <c r="H11" s="44">
        <v>77243.100000000006</v>
      </c>
      <c r="I11" s="44">
        <f ca="1">H11/G11</f>
        <v>3358.3956521739133</v>
      </c>
      <c r="J11" t="s">
        <v>166</v>
      </c>
      <c r="K11" t="s">
        <v>174</v>
      </c>
      <c r="L11">
        <v>75000</v>
      </c>
      <c r="M11" t="str">
        <f>IF(H11&lt;L11,"Y","Not Covered")</f>
        <v>Not Covered</v>
      </c>
      <c r="N11" t="str">
        <f>_xlfn.CONCAT(B11,F11,D11,UPPER(LEFT(J11,3)),RIGHT(A11,3))</f>
        <v>CR00CARBLA046</v>
      </c>
      <c r="R11" t="s">
        <v>281</v>
      </c>
    </row>
    <row r="12" spans="1:18">
      <c r="A12" t="s">
        <v>270</v>
      </c>
      <c r="B12" t="str">
        <f>LEFT(A12,2)</f>
        <v>HO</v>
      </c>
      <c r="C12" t="str">
        <f>VLOOKUP(B12,B$56:C$61,2)</f>
        <v>Honda</v>
      </c>
      <c r="D12" t="str">
        <f>MID(A12,5,3)</f>
        <v>ODY</v>
      </c>
      <c r="E12" t="str">
        <f>VLOOKUP(D12,D$56:E$66,2)</f>
        <v>Odyssey</v>
      </c>
      <c r="F12" t="str">
        <f>MID(A12,3,2)</f>
        <v>05</v>
      </c>
      <c r="G12" s="2">
        <f ca="1">IF((RIGHT(YEAR(TODAY()),2)-F12)&lt;0,(100-F12)+RIGHT(YEAR(TODAY()),2),(RIGHT(YEAR(TODAY()),2)-F12))</f>
        <v>18</v>
      </c>
      <c r="H12" s="44">
        <v>60389.5</v>
      </c>
      <c r="I12" s="44">
        <f ca="1">H12/G12</f>
        <v>3354.9722222222222</v>
      </c>
      <c r="J12" t="s">
        <v>168</v>
      </c>
      <c r="K12" t="s">
        <v>29</v>
      </c>
      <c r="L12">
        <v>100000</v>
      </c>
      <c r="M12" t="str">
        <f>IF(H12&lt;L12,"Y","Not Covered")</f>
        <v>Y</v>
      </c>
      <c r="N12" t="str">
        <f>_xlfn.CONCAT(B12,F12,D12,UPPER(LEFT(J12,3)),RIGHT(A12,3))</f>
        <v>HO05ODYWHI037</v>
      </c>
      <c r="R12" t="s">
        <v>282</v>
      </c>
    </row>
    <row r="13" spans="1:18">
      <c r="A13" t="s">
        <v>195</v>
      </c>
      <c r="B13" t="str">
        <f>LEFT(A13,2)</f>
        <v>GM</v>
      </c>
      <c r="C13" t="str">
        <f>VLOOKUP(B13,B$56:C$61,2)</f>
        <v>General Mortors</v>
      </c>
      <c r="D13" t="str">
        <f>MID(A13,5,3)</f>
        <v>SLV</v>
      </c>
      <c r="E13" t="str">
        <f>VLOOKUP(D13,D$56:E$66,2)</f>
        <v>Silverado</v>
      </c>
      <c r="F13" t="str">
        <f>MID(A13,3,2)</f>
        <v>98</v>
      </c>
      <c r="G13" s="2">
        <f ca="1">IF((RIGHT(YEAR(TODAY()),2)-F13)&lt;0,(100-F13)+RIGHT(YEAR(TODAY()),2),(RIGHT(YEAR(TODAY()),2)-F13))</f>
        <v>25</v>
      </c>
      <c r="H13" s="44">
        <v>83162.7</v>
      </c>
      <c r="I13" s="44">
        <f ca="1">H13/G13</f>
        <v>3326.5079999999998</v>
      </c>
      <c r="J13" t="s">
        <v>166</v>
      </c>
      <c r="K13" t="s">
        <v>188</v>
      </c>
      <c r="L13">
        <v>100000</v>
      </c>
      <c r="M13" t="str">
        <f>IF(H13&lt;L13,"Y","Not Covered")</f>
        <v>Y</v>
      </c>
      <c r="N13" t="str">
        <f>_xlfn.CONCAT(B13,F13,D13,UPPER(LEFT(J13,3)),RIGHT(A13,3))</f>
        <v>GM98SLVBLA018</v>
      </c>
    </row>
    <row r="14" spans="1:18">
      <c r="A14" t="s">
        <v>225</v>
      </c>
      <c r="B14" t="str">
        <f>LEFT(A14,2)</f>
        <v>CR</v>
      </c>
      <c r="C14" t="str">
        <f>VLOOKUP(B14,B$56:C$61,2)</f>
        <v>Chrysler</v>
      </c>
      <c r="D14" t="str">
        <f>MID(A14,5,3)</f>
        <v>CAR</v>
      </c>
      <c r="E14" t="str">
        <f>VLOOKUP(D14,D$56:E$66,2)</f>
        <v>Caravan</v>
      </c>
      <c r="F14" t="str">
        <f>MID(A14,3,2)</f>
        <v>99</v>
      </c>
      <c r="G14" s="2">
        <f ca="1">IF((RIGHT(YEAR(TODAY()),2)-F14)&lt;0,(100-F14)+RIGHT(YEAR(TODAY()),2),(RIGHT(YEAR(TODAY()),2)-F14))</f>
        <v>24</v>
      </c>
      <c r="H14" s="44">
        <v>79420.600000000006</v>
      </c>
      <c r="I14" s="44">
        <f ca="1">H14/G14</f>
        <v>3309.1916666666671</v>
      </c>
      <c r="J14" t="s">
        <v>171</v>
      </c>
      <c r="K14" t="s">
        <v>194</v>
      </c>
      <c r="L14">
        <v>75000</v>
      </c>
      <c r="M14" t="str">
        <f>IF(H14&lt;L14,"Y","Not Covered")</f>
        <v>Not Covered</v>
      </c>
      <c r="N14" t="str">
        <f>_xlfn.CONCAT(B14,F14,D14,UPPER(LEFT(J14,3)),RIGHT(A14,3))</f>
        <v>CR99CARGRE045</v>
      </c>
    </row>
    <row r="15" spans="1:18">
      <c r="A15" t="s">
        <v>203</v>
      </c>
      <c r="B15" t="str">
        <f>LEFT(A15,2)</f>
        <v>TY</v>
      </c>
      <c r="C15" t="str">
        <f>VLOOKUP(B15,B$56:C$61,2)</f>
        <v>Toyota</v>
      </c>
      <c r="D15" t="str">
        <f>MID(A15,5,3)</f>
        <v>CAM</v>
      </c>
      <c r="E15" t="str">
        <f>VLOOKUP(D15,D$56:E$66,2)</f>
        <v>Camrey</v>
      </c>
      <c r="F15" t="str">
        <f>MID(A15,3,2)</f>
        <v>02</v>
      </c>
      <c r="G15" s="2">
        <f ca="1">IF((RIGHT(YEAR(TODAY()),2)-F15)&lt;0,(100-F15)+RIGHT(YEAR(TODAY()),2),(RIGHT(YEAR(TODAY()),2)-F15))</f>
        <v>21</v>
      </c>
      <c r="H15" s="44">
        <v>67829.100000000006</v>
      </c>
      <c r="I15" s="44">
        <f ca="1">H15/G15</f>
        <v>3229.957142857143</v>
      </c>
      <c r="J15" t="s">
        <v>166</v>
      </c>
      <c r="K15" t="s">
        <v>35</v>
      </c>
      <c r="L15">
        <v>100000</v>
      </c>
      <c r="M15" t="str">
        <f>IF(H15&lt;L15,"Y","Not Covered")</f>
        <v>Y</v>
      </c>
      <c r="N15" t="str">
        <f>_xlfn.CONCAT(B15,F15,D15,UPPER(LEFT(J15,3)),RIGHT(A15,3))</f>
        <v>TY02CAMBLA023</v>
      </c>
    </row>
    <row r="16" spans="1:18">
      <c r="A16" t="s">
        <v>219</v>
      </c>
      <c r="B16" t="str">
        <f>LEFT(A16,2)</f>
        <v>HO</v>
      </c>
      <c r="C16" t="str">
        <f>VLOOKUP(B16,B$56:C$61,2)</f>
        <v>Honda</v>
      </c>
      <c r="D16" t="str">
        <f>MID(A16,5,3)</f>
        <v>ODY</v>
      </c>
      <c r="E16" t="str">
        <f>VLOOKUP(D16,D$56:E$66,2)</f>
        <v>Odyssey</v>
      </c>
      <c r="F16" t="str">
        <f>MID(A16,3,2)</f>
        <v>07</v>
      </c>
      <c r="G16" s="2">
        <f ca="1">IF((RIGHT(YEAR(TODAY()),2)-F16)&lt;0,(100-F16)+RIGHT(YEAR(TODAY()),2),(RIGHT(YEAR(TODAY()),2)-F16))</f>
        <v>16</v>
      </c>
      <c r="H16" s="44">
        <v>50854.1</v>
      </c>
      <c r="I16" s="44">
        <f ca="1">H16/G16</f>
        <v>3178.3812499999999</v>
      </c>
      <c r="J16" t="s">
        <v>166</v>
      </c>
      <c r="K16" t="s">
        <v>201</v>
      </c>
      <c r="L16">
        <v>100000</v>
      </c>
      <c r="M16" t="str">
        <f>IF(H16&lt;L16,"Y","Not Covered")</f>
        <v>Y</v>
      </c>
      <c r="N16" t="str">
        <f>_xlfn.CONCAT(B16,F16,D16,UPPER(LEFT(J16,3)),RIGHT(A16,3))</f>
        <v>HO07ODYBLA038</v>
      </c>
    </row>
    <row r="17" spans="1:14">
      <c r="A17" t="s">
        <v>213</v>
      </c>
      <c r="B17" t="str">
        <f>LEFT(A17,2)</f>
        <v>HO</v>
      </c>
      <c r="C17" t="str">
        <f>VLOOKUP(B17,B$56:C$61,2)</f>
        <v>Honda</v>
      </c>
      <c r="D17" t="str">
        <f>MID(A17,5,3)</f>
        <v>CIV</v>
      </c>
      <c r="E17" t="str">
        <f>VLOOKUP(D17,D$56:E$66,2)</f>
        <v>Civic</v>
      </c>
      <c r="F17" t="str">
        <f>MID(A17,3,2)</f>
        <v>01</v>
      </c>
      <c r="G17" s="2">
        <f ca="1">IF((RIGHT(YEAR(TODAY()),2)-F17)&lt;0,(100-F17)+RIGHT(YEAR(TODAY()),2),(RIGHT(YEAR(TODAY()),2)-F17))</f>
        <v>22</v>
      </c>
      <c r="H17" s="44">
        <v>69891.899999999994</v>
      </c>
      <c r="I17" s="44">
        <f ca="1">H17/G17</f>
        <v>3176.9045454545453</v>
      </c>
      <c r="J17" t="s">
        <v>197</v>
      </c>
      <c r="K17" t="s">
        <v>174</v>
      </c>
      <c r="L17">
        <v>75000</v>
      </c>
      <c r="M17" t="str">
        <f>IF(H17&lt;L17,"Y","Not Covered")</f>
        <v>Y</v>
      </c>
      <c r="N17" t="str">
        <f>_xlfn.CONCAT(B17,F17,D17,UPPER(LEFT(J17,3)),RIGHT(A17,3))</f>
        <v>HO01CIVBLU031</v>
      </c>
    </row>
    <row r="18" spans="1:14">
      <c r="A18" t="s">
        <v>267</v>
      </c>
      <c r="B18" t="str">
        <f>LEFT(A18,2)</f>
        <v>HO</v>
      </c>
      <c r="C18" t="str">
        <f>VLOOKUP(B18,B$56:C$61,2)</f>
        <v>Honda</v>
      </c>
      <c r="D18" t="str">
        <f>MID(A18,5,3)</f>
        <v>ODY</v>
      </c>
      <c r="E18" t="str">
        <f>VLOOKUP(D18,D$56:E$66,2)</f>
        <v>Odyssey</v>
      </c>
      <c r="F18" t="str">
        <f>MID(A18,3,2)</f>
        <v>01</v>
      </c>
      <c r="G18" s="2">
        <f ca="1">IF((RIGHT(YEAR(TODAY()),2)-F18)&lt;0,(100-F18)+RIGHT(YEAR(TODAY()),2),(RIGHT(YEAR(TODAY()),2)-F18))</f>
        <v>22</v>
      </c>
      <c r="H18" s="44">
        <v>68658.899999999994</v>
      </c>
      <c r="I18" s="44">
        <f ca="1">H18/G18</f>
        <v>3120.8590909090908</v>
      </c>
      <c r="J18" t="s">
        <v>166</v>
      </c>
      <c r="K18" t="s">
        <v>35</v>
      </c>
      <c r="L18">
        <v>100000</v>
      </c>
      <c r="M18" t="str">
        <f>IF(H18&lt;L18,"Y","Not Covered")</f>
        <v>Y</v>
      </c>
      <c r="N18" t="str">
        <f>_xlfn.CONCAT(B18,F18,D18,UPPER(LEFT(J18,3)),RIGHT(A18,3))</f>
        <v>HO01ODYBLA040</v>
      </c>
    </row>
    <row r="19" spans="1:14">
      <c r="A19" t="s">
        <v>177</v>
      </c>
      <c r="B19" t="str">
        <f>LEFT(A19,2)</f>
        <v>FD</v>
      </c>
      <c r="C19" t="str">
        <f>VLOOKUP(B19,B$56:C$61,2)</f>
        <v>Ford</v>
      </c>
      <c r="D19" t="str">
        <f>MID(A19,5,3)</f>
        <v>FCS</v>
      </c>
      <c r="E19" t="str">
        <f>VLOOKUP(D19,D$56:E$66,2)</f>
        <v>Focus</v>
      </c>
      <c r="F19" t="str">
        <f>MID(A19,3,2)</f>
        <v>06</v>
      </c>
      <c r="G19" s="2">
        <f ca="1">IF((RIGHT(YEAR(TODAY()),2)-F19)&lt;0,(100-F19)+RIGHT(YEAR(TODAY()),2),(RIGHT(YEAR(TODAY()),2)-F19))</f>
        <v>17</v>
      </c>
      <c r="H19" s="44">
        <v>52229.5</v>
      </c>
      <c r="I19" s="44">
        <f ca="1">H19/G19</f>
        <v>3072.3235294117649</v>
      </c>
      <c r="J19" t="s">
        <v>171</v>
      </c>
      <c r="K19" t="s">
        <v>172</v>
      </c>
      <c r="L19">
        <v>75000</v>
      </c>
      <c r="M19" t="str">
        <f>IF(H19&lt;L19,"Y","Not Covered")</f>
        <v>Y</v>
      </c>
      <c r="N19" t="str">
        <f>_xlfn.CONCAT(B19,F19,D19,UPPER(LEFT(J19,3)),RIGHT(A19,3))</f>
        <v>FD06FCSGRE007</v>
      </c>
    </row>
    <row r="20" spans="1:14">
      <c r="A20" t="s">
        <v>205</v>
      </c>
      <c r="B20" t="str">
        <f>LEFT(A20,2)</f>
        <v>TY</v>
      </c>
      <c r="C20" t="str">
        <f>VLOOKUP(B20,B$56:C$61,2)</f>
        <v>Toyota</v>
      </c>
      <c r="D20" t="str">
        <f>MID(A20,5,3)</f>
        <v>COR</v>
      </c>
      <c r="E20" t="str">
        <f>VLOOKUP(D20,D$56:E$66,2)</f>
        <v>Corola</v>
      </c>
      <c r="F20" t="str">
        <f>MID(A20,3,2)</f>
        <v>02</v>
      </c>
      <c r="G20" s="2">
        <f ca="1">IF((RIGHT(YEAR(TODAY()),2)-F20)&lt;0,(100-F20)+RIGHT(YEAR(TODAY()),2),(RIGHT(YEAR(TODAY()),2)-F20))</f>
        <v>21</v>
      </c>
      <c r="H20" s="44">
        <v>64467.4</v>
      </c>
      <c r="I20" s="44">
        <f ca="1">H20/G20</f>
        <v>3069.8761904761905</v>
      </c>
      <c r="J20" t="s">
        <v>206</v>
      </c>
      <c r="K20" t="s">
        <v>207</v>
      </c>
      <c r="L20">
        <v>100000</v>
      </c>
      <c r="M20" t="str">
        <f>IF(H20&lt;L20,"Y","Not Covered")</f>
        <v>Y</v>
      </c>
      <c r="N20" t="str">
        <f>_xlfn.CONCAT(B20,F20,D20,UPPER(LEFT(J20,3)),RIGHT(A20,3))</f>
        <v>TY02CORRED025</v>
      </c>
    </row>
    <row r="21" spans="1:14">
      <c r="A21" t="s">
        <v>170</v>
      </c>
      <c r="B21" t="str">
        <f>LEFT(A21,2)</f>
        <v>FD</v>
      </c>
      <c r="C21" t="str">
        <f>VLOOKUP(B21,B$56:C$61,2)</f>
        <v>Ford</v>
      </c>
      <c r="D21" t="str">
        <f>MID(A21,5,3)</f>
        <v>MTG</v>
      </c>
      <c r="E21" t="str">
        <f>VLOOKUP(D21,D$56:E$66,2)</f>
        <v>Mustang</v>
      </c>
      <c r="F21" t="str">
        <f>MID(A21,3,2)</f>
        <v>08</v>
      </c>
      <c r="G21" s="2">
        <f ca="1">IF((RIGHT(YEAR(TODAY()),2)-F21)&lt;0,(100-F21)+RIGHT(YEAR(TODAY()),2),(RIGHT(YEAR(TODAY()),2)-F21))</f>
        <v>15</v>
      </c>
      <c r="H21" s="44">
        <v>44946.5</v>
      </c>
      <c r="I21" s="44">
        <f ca="1">H21/G21</f>
        <v>2996.4333333333334</v>
      </c>
      <c r="J21" t="s">
        <v>171</v>
      </c>
      <c r="K21" t="s">
        <v>172</v>
      </c>
      <c r="L21">
        <v>50000</v>
      </c>
      <c r="M21" t="str">
        <f>IF(H21&lt;L21,"Y","Not Covered")</f>
        <v>Y</v>
      </c>
      <c r="N21" t="str">
        <f>_xlfn.CONCAT(B21,F21,D21,UPPER(LEFT(J21,3)),RIGHT(A21,3))</f>
        <v>FD08MTGGRE003</v>
      </c>
    </row>
    <row r="22" spans="1:14">
      <c r="A22" t="s">
        <v>220</v>
      </c>
      <c r="B22" t="str">
        <f>LEFT(A22,2)</f>
        <v>HO</v>
      </c>
      <c r="C22" t="str">
        <f>VLOOKUP(B22,B$56:C$61,2)</f>
        <v>Honda</v>
      </c>
      <c r="D22" t="str">
        <f>MID(A22,5,3)</f>
        <v>ODY</v>
      </c>
      <c r="E22" t="str">
        <f>VLOOKUP(D22,D$56:E$66,2)</f>
        <v>Odyssey</v>
      </c>
      <c r="F22" t="str">
        <f>MID(A22,3,2)</f>
        <v>08</v>
      </c>
      <c r="G22" s="2">
        <f ca="1">IF((RIGHT(YEAR(TODAY()),2)-F22)&lt;0,(100-F22)+RIGHT(YEAR(TODAY()),2),(RIGHT(YEAR(TODAY()),2)-F22))</f>
        <v>15</v>
      </c>
      <c r="H22" s="44">
        <v>42504.6</v>
      </c>
      <c r="I22" s="44">
        <f ca="1">H22/G22</f>
        <v>2833.64</v>
      </c>
      <c r="J22" t="s">
        <v>168</v>
      </c>
      <c r="K22" t="s">
        <v>187</v>
      </c>
      <c r="L22">
        <v>100000</v>
      </c>
      <c r="M22" t="str">
        <f>IF(H22&lt;L22,"Y","Not Covered")</f>
        <v>Y</v>
      </c>
      <c r="N22" t="str">
        <f>_xlfn.CONCAT(B22,F22,D22,UPPER(LEFT(J22,3)),RIGHT(A22,3))</f>
        <v>HO08ODYWHI039</v>
      </c>
    </row>
    <row r="23" spans="1:14">
      <c r="A23" t="s">
        <v>228</v>
      </c>
      <c r="B23" t="str">
        <f>LEFT(A23,2)</f>
        <v>CR</v>
      </c>
      <c r="C23" t="str">
        <f>VLOOKUP(B23,B$56:C$61,2)</f>
        <v>Chrysler</v>
      </c>
      <c r="D23" t="str">
        <f>MID(A23,5,3)</f>
        <v>CAR</v>
      </c>
      <c r="E23" t="str">
        <f>VLOOKUP(D23,D$56:E$66,2)</f>
        <v>Caravan</v>
      </c>
      <c r="F23" t="str">
        <f>MID(A23,3,2)</f>
        <v>04</v>
      </c>
      <c r="G23" s="2">
        <f ca="1">IF((RIGHT(YEAR(TODAY()),2)-F23)&lt;0,(100-F23)+RIGHT(YEAR(TODAY()),2),(RIGHT(YEAR(TODAY()),2)-F23))</f>
        <v>19</v>
      </c>
      <c r="H23" s="44">
        <v>52699.4</v>
      </c>
      <c r="I23" s="44">
        <f ca="1">H23/G23</f>
        <v>2773.6526315789474</v>
      </c>
      <c r="J23" t="s">
        <v>206</v>
      </c>
      <c r="K23" t="s">
        <v>190</v>
      </c>
      <c r="L23">
        <v>75000</v>
      </c>
      <c r="M23" t="str">
        <f>IF(H23&lt;L23,"Y","Not Covered")</f>
        <v>Y</v>
      </c>
      <c r="N23" t="str">
        <f>_xlfn.CONCAT(B23,F23,D23,UPPER(LEFT(J23,3)),RIGHT(A23,3))</f>
        <v>CR04CARRED048</v>
      </c>
    </row>
    <row r="24" spans="1:14">
      <c r="A24" t="s">
        <v>179</v>
      </c>
      <c r="B24" t="str">
        <f>LEFT(A24,2)</f>
        <v>FD</v>
      </c>
      <c r="C24" t="str">
        <f>VLOOKUP(B24,B$56:C$61,2)</f>
        <v>Ford</v>
      </c>
      <c r="D24" t="str">
        <f>MID(A24,5,3)</f>
        <v>FCS</v>
      </c>
      <c r="E24" t="str">
        <f>VLOOKUP(D24,D$56:E$66,2)</f>
        <v>Focus</v>
      </c>
      <c r="F24" t="str">
        <f>MID(A24,3,2)</f>
        <v>13</v>
      </c>
      <c r="G24" s="2">
        <f ca="1">IF((RIGHT(YEAR(TODAY()),2)-F24)&lt;0,(100-F24)+RIGHT(YEAR(TODAY()),2),(RIGHT(YEAR(TODAY()),2)-F24))</f>
        <v>10</v>
      </c>
      <c r="H24" s="44">
        <v>27637.1</v>
      </c>
      <c r="I24" s="44">
        <f ca="1">H24/G24</f>
        <v>2763.71</v>
      </c>
      <c r="J24" t="s">
        <v>166</v>
      </c>
      <c r="K24" t="s">
        <v>35</v>
      </c>
      <c r="L24">
        <v>75000</v>
      </c>
      <c r="M24" t="str">
        <f>IF(H24&lt;L24,"Y","Not Covered")</f>
        <v>Y</v>
      </c>
      <c r="N24" t="str">
        <f>_xlfn.CONCAT(B24,F24,D24,UPPER(LEFT(J24,3)),RIGHT(A24,3))</f>
        <v>FD13FCSBLA009</v>
      </c>
    </row>
    <row r="25" spans="1:14">
      <c r="A25" t="s">
        <v>180</v>
      </c>
      <c r="B25" t="str">
        <f>LEFT(A25,2)</f>
        <v>FD</v>
      </c>
      <c r="C25" t="str">
        <f>VLOOKUP(B25,B$56:C$61,2)</f>
        <v>Ford</v>
      </c>
      <c r="D25" t="str">
        <f>MID(A25,5,3)</f>
        <v>FCS</v>
      </c>
      <c r="E25" t="str">
        <f>VLOOKUP(D25,D$56:E$66,2)</f>
        <v>Focus</v>
      </c>
      <c r="F25" t="str">
        <f>MID(A25,3,2)</f>
        <v>13</v>
      </c>
      <c r="G25" s="2">
        <f ca="1">IF((RIGHT(YEAR(TODAY()),2)-F25)&lt;0,(100-F25)+RIGHT(YEAR(TODAY()),2),(RIGHT(YEAR(TODAY()),2)-F25))</f>
        <v>10</v>
      </c>
      <c r="H25" s="44">
        <v>27534.799999999999</v>
      </c>
      <c r="I25" s="44">
        <f ca="1">H25/G25</f>
        <v>2753.48</v>
      </c>
      <c r="J25" t="s">
        <v>168</v>
      </c>
      <c r="K25" t="s">
        <v>181</v>
      </c>
      <c r="L25">
        <v>75000</v>
      </c>
      <c r="M25" t="str">
        <f>IF(H25&lt;L25,"Y","Not Covered")</f>
        <v>Y</v>
      </c>
      <c r="N25" t="str">
        <f>_xlfn.CONCAT(B25,F25,D25,UPPER(LEFT(J25,3)),RIGHT(A25,3))</f>
        <v>FD13FCSWHI010</v>
      </c>
    </row>
    <row r="26" spans="1:14">
      <c r="A26" t="s">
        <v>268</v>
      </c>
      <c r="B26" t="str">
        <f>LEFT(A26,2)</f>
        <v>FD</v>
      </c>
      <c r="C26" t="str">
        <f>VLOOKUP(B26,B$56:C$61,2)</f>
        <v>Ford</v>
      </c>
      <c r="D26" t="str">
        <f>MID(A26,5,3)</f>
        <v>FCS</v>
      </c>
      <c r="E26" t="str">
        <f>VLOOKUP(D26,D$56:E$66,2)</f>
        <v>Focus</v>
      </c>
      <c r="F26" t="str">
        <f>MID(A26,3,2)</f>
        <v>06</v>
      </c>
      <c r="G26" s="2">
        <f ca="1">IF((RIGHT(YEAR(TODAY()),2)-F26)&lt;0,(100-F26)+RIGHT(YEAR(TODAY()),2),(RIGHT(YEAR(TODAY()),2)-F26))</f>
        <v>17</v>
      </c>
      <c r="H26" s="44">
        <v>46311.4</v>
      </c>
      <c r="I26" s="44">
        <f ca="1">H26/G26</f>
        <v>2724.2000000000003</v>
      </c>
      <c r="J26" t="s">
        <v>171</v>
      </c>
      <c r="K26" t="s">
        <v>176</v>
      </c>
      <c r="L26">
        <v>75000</v>
      </c>
      <c r="M26" t="str">
        <f>IF(H26&lt;L26,"Y","Not Covered")</f>
        <v>Y</v>
      </c>
      <c r="N26" t="str">
        <f>_xlfn.CONCAT(B26,F26,D26,UPPER(LEFT(J26,3)),RIGHT(A26,3))</f>
        <v>FD06FCSGRE006</v>
      </c>
    </row>
    <row r="27" spans="1:14">
      <c r="A27" t="s">
        <v>210</v>
      </c>
      <c r="B27" t="str">
        <f>LEFT(A27,2)</f>
        <v>TY</v>
      </c>
      <c r="C27" t="str">
        <f>VLOOKUP(B27,B$56:C$61,2)</f>
        <v>Toyota</v>
      </c>
      <c r="D27" t="str">
        <f>MID(A27,5,3)</f>
        <v>COR</v>
      </c>
      <c r="E27" t="str">
        <f>VLOOKUP(D27,D$56:E$66,2)</f>
        <v>Corola</v>
      </c>
      <c r="F27" t="str">
        <f>MID(A27,3,2)</f>
        <v>12</v>
      </c>
      <c r="G27" s="2">
        <f ca="1">IF((RIGHT(YEAR(TODAY()),2)-F27)&lt;0,(100-F27)+RIGHT(YEAR(TODAY()),2),(RIGHT(YEAR(TODAY()),2)-F27))</f>
        <v>11</v>
      </c>
      <c r="H27" s="44">
        <v>29601.9</v>
      </c>
      <c r="I27" s="44">
        <f ca="1">H27/G27</f>
        <v>2691.0818181818181</v>
      </c>
      <c r="J27" t="s">
        <v>166</v>
      </c>
      <c r="K27" t="s">
        <v>188</v>
      </c>
      <c r="L27">
        <v>100000</v>
      </c>
      <c r="M27" t="str">
        <f>IF(H27&lt;L27,"Y","Not Covered")</f>
        <v>Y</v>
      </c>
      <c r="N27" t="str">
        <f>_xlfn.CONCAT(B27,F27,D27,UPPER(LEFT(J27,3)),RIGHT(A27,3))</f>
        <v>TY12CORBLA028</v>
      </c>
    </row>
    <row r="28" spans="1:14">
      <c r="A28" t="s">
        <v>167</v>
      </c>
      <c r="B28" t="str">
        <f>LEFT(A28,2)</f>
        <v>FD</v>
      </c>
      <c r="C28" t="str">
        <f>VLOOKUP(B28,B$56:C$61,2)</f>
        <v>Ford</v>
      </c>
      <c r="D28" t="str">
        <f>MID(A28,5,3)</f>
        <v>MTG</v>
      </c>
      <c r="E28" t="str">
        <f>VLOOKUP(D28,D$56:E$66,2)</f>
        <v>Mustang</v>
      </c>
      <c r="F28" t="str">
        <f>MID(A28,3,2)</f>
        <v>06</v>
      </c>
      <c r="G28" s="2">
        <f ca="1">IF((RIGHT(YEAR(TODAY()),2)-F28)&lt;0,(100-F28)+RIGHT(YEAR(TODAY()),2),(RIGHT(YEAR(TODAY()),2)-F28))</f>
        <v>17</v>
      </c>
      <c r="H28" s="44">
        <v>44974.8</v>
      </c>
      <c r="I28" s="44">
        <f ca="1">H28/G28</f>
        <v>2645.5764705882357</v>
      </c>
      <c r="J28" t="s">
        <v>168</v>
      </c>
      <c r="K28" t="s">
        <v>169</v>
      </c>
      <c r="L28">
        <v>50000</v>
      </c>
      <c r="M28" t="str">
        <f>IF(H28&lt;L28,"Y","Not Covered")</f>
        <v>Y</v>
      </c>
      <c r="N28" t="str">
        <f>_xlfn.CONCAT(B28,F28,D28,UPPER(LEFT(J28,3)),RIGHT(A28,3))</f>
        <v>FD06MTGWHI002</v>
      </c>
    </row>
    <row r="29" spans="1:14">
      <c r="A29" t="s">
        <v>223</v>
      </c>
      <c r="B29" t="str">
        <f>LEFT(A29,2)</f>
        <v>CR</v>
      </c>
      <c r="C29" t="str">
        <f>VLOOKUP(B29,B$56:C$61,2)</f>
        <v>Chrysler</v>
      </c>
      <c r="D29" t="str">
        <f>MID(A29,5,3)</f>
        <v>PTC</v>
      </c>
      <c r="E29" t="str">
        <f>VLOOKUP(D29,D$56:E$66,2)</f>
        <v>PT Cruiser</v>
      </c>
      <c r="F29" t="str">
        <f>MID(A29,3,2)</f>
        <v>07</v>
      </c>
      <c r="G29" s="2">
        <f ca="1">IF((RIGHT(YEAR(TODAY()),2)-F29)&lt;0,(100-F29)+RIGHT(YEAR(TODAY()),2),(RIGHT(YEAR(TODAY()),2)-F29))</f>
        <v>16</v>
      </c>
      <c r="H29" s="44">
        <v>42074.2</v>
      </c>
      <c r="I29" s="44">
        <f ca="1">H29/G29</f>
        <v>2629.6374999999998</v>
      </c>
      <c r="J29" t="s">
        <v>171</v>
      </c>
      <c r="K29" t="s">
        <v>207</v>
      </c>
      <c r="L29">
        <v>75000</v>
      </c>
      <c r="M29" t="str">
        <f>IF(H29&lt;L29,"Y","Not Covered")</f>
        <v>Y</v>
      </c>
      <c r="N29" t="str">
        <f>_xlfn.CONCAT(B29,F29,D29,UPPER(LEFT(J29,3)),RIGHT(A29,3))</f>
        <v>CR07PTCGRE043</v>
      </c>
    </row>
    <row r="30" spans="1:14">
      <c r="A30" t="s">
        <v>215</v>
      </c>
      <c r="B30" t="str">
        <f>LEFT(A30,2)</f>
        <v>HO</v>
      </c>
      <c r="C30" t="str">
        <f>VLOOKUP(B30,B$56:C$61,2)</f>
        <v>Honda</v>
      </c>
      <c r="D30" t="str">
        <f>MID(A30,5,3)</f>
        <v>CIV</v>
      </c>
      <c r="E30" t="str">
        <f>VLOOKUP(D30,D$56:E$66,2)</f>
        <v>Civic</v>
      </c>
      <c r="F30" t="str">
        <f>MID(A30,3,2)</f>
        <v>10</v>
      </c>
      <c r="G30" s="2">
        <f ca="1">IF((RIGHT(YEAR(TODAY()),2)-F30)&lt;0,(100-F30)+RIGHT(YEAR(TODAY()),2),(RIGHT(YEAR(TODAY()),2)-F30))</f>
        <v>13</v>
      </c>
      <c r="H30" s="44">
        <v>33477.199999999997</v>
      </c>
      <c r="I30" s="44">
        <f ca="1">H30/G30</f>
        <v>2575.1692307692306</v>
      </c>
      <c r="J30" t="s">
        <v>166</v>
      </c>
      <c r="K30" t="s">
        <v>201</v>
      </c>
      <c r="L30">
        <v>75000</v>
      </c>
      <c r="M30" t="str">
        <f>IF(H30&lt;L30,"Y","Not Covered")</f>
        <v>Y</v>
      </c>
      <c r="N30" t="str">
        <f>_xlfn.CONCAT(B30,F30,D30,UPPER(LEFT(J30,3)),RIGHT(A30,3))</f>
        <v>HO10CIVBLA033</v>
      </c>
    </row>
    <row r="31" spans="1:14">
      <c r="A31" t="s">
        <v>216</v>
      </c>
      <c r="B31" t="str">
        <f>LEFT(A31,2)</f>
        <v>HO</v>
      </c>
      <c r="C31" t="str">
        <f>VLOOKUP(B31,B$56:C$61,2)</f>
        <v>Honda</v>
      </c>
      <c r="D31" t="str">
        <f>MID(A31,5,3)</f>
        <v>CIV</v>
      </c>
      <c r="E31" t="str">
        <f>VLOOKUP(D31,D$56:E$66,2)</f>
        <v>Civic</v>
      </c>
      <c r="F31" t="str">
        <f>MID(A31,3,2)</f>
        <v>11</v>
      </c>
      <c r="G31" s="2">
        <f ca="1">IF((RIGHT(YEAR(TODAY()),2)-F31)&lt;0,(100-F31)+RIGHT(YEAR(TODAY()),2),(RIGHT(YEAR(TODAY()),2)-F31))</f>
        <v>12</v>
      </c>
      <c r="H31" s="44">
        <v>30555.3</v>
      </c>
      <c r="I31" s="44">
        <f ca="1">H31/G31</f>
        <v>2546.2750000000001</v>
      </c>
      <c r="J31" t="s">
        <v>166</v>
      </c>
      <c r="K31" t="s">
        <v>172</v>
      </c>
      <c r="L31">
        <v>75000</v>
      </c>
      <c r="M31" t="str">
        <f>IF(H31&lt;L31,"Y","Not Covered")</f>
        <v>Y</v>
      </c>
      <c r="N31" t="str">
        <f>_xlfn.CONCAT(B31,F31,D31,UPPER(LEFT(J31,3)),RIGHT(A31,3))</f>
        <v>HO11CIVBLA034</v>
      </c>
    </row>
    <row r="32" spans="1:14">
      <c r="A32" t="s">
        <v>178</v>
      </c>
      <c r="B32" t="str">
        <f>LEFT(A32,2)</f>
        <v>FD</v>
      </c>
      <c r="C32" t="str">
        <f>VLOOKUP(B32,B$56:C$61,2)</f>
        <v>Ford</v>
      </c>
      <c r="D32" t="str">
        <f>MID(A32,5,3)</f>
        <v>FCS</v>
      </c>
      <c r="E32" t="str">
        <f>VLOOKUP(D32,D$56:E$66,2)</f>
        <v>Focus</v>
      </c>
      <c r="F32" t="str">
        <f>MID(A32,3,2)</f>
        <v>09</v>
      </c>
      <c r="G32" s="2">
        <f ca="1">IF((RIGHT(YEAR(TODAY()),2)-F32)&lt;0,(100-F32)+RIGHT(YEAR(TODAY()),2),(RIGHT(YEAR(TODAY()),2)-F32))</f>
        <v>14</v>
      </c>
      <c r="H32" s="44">
        <v>35137</v>
      </c>
      <c r="I32" s="44">
        <f ca="1">H32/G32</f>
        <v>2509.7857142857142</v>
      </c>
      <c r="J32" t="s">
        <v>166</v>
      </c>
      <c r="K32" t="s">
        <v>29</v>
      </c>
      <c r="L32">
        <v>75000</v>
      </c>
      <c r="M32" t="str">
        <f>IF(H32&lt;L32,"Y","Not Covered")</f>
        <v>Y</v>
      </c>
      <c r="N32" t="str">
        <f>_xlfn.CONCAT(B32,F32,D32,UPPER(LEFT(J32,3)),RIGHT(A32,3))</f>
        <v>FD09FCSBLA008</v>
      </c>
    </row>
    <row r="33" spans="1:14">
      <c r="A33" t="s">
        <v>173</v>
      </c>
      <c r="B33" t="str">
        <f>LEFT(A33,2)</f>
        <v>FD</v>
      </c>
      <c r="C33" t="str">
        <f>VLOOKUP(B33,B$56:C$61,2)</f>
        <v>Ford</v>
      </c>
      <c r="D33" t="str">
        <f>MID(A33,5,3)</f>
        <v>MTG</v>
      </c>
      <c r="E33" t="str">
        <f>VLOOKUP(D33,D$56:E$66,2)</f>
        <v>Mustang</v>
      </c>
      <c r="F33" t="str">
        <f>MID(A33,3,2)</f>
        <v>08</v>
      </c>
      <c r="G33" s="2">
        <f ca="1">IF((RIGHT(YEAR(TODAY()),2)-F33)&lt;0,(100-F33)+RIGHT(YEAR(TODAY()),2),(RIGHT(YEAR(TODAY()),2)-F33))</f>
        <v>15</v>
      </c>
      <c r="H33" s="44">
        <v>37558.800000000003</v>
      </c>
      <c r="I33" s="44">
        <f ca="1">H33/G33</f>
        <v>2503.92</v>
      </c>
      <c r="J33" t="s">
        <v>166</v>
      </c>
      <c r="K33" t="s">
        <v>174</v>
      </c>
      <c r="L33">
        <v>50000</v>
      </c>
      <c r="M33" t="str">
        <f>IF(H33&lt;L33,"Y","Not Covered")</f>
        <v>Y</v>
      </c>
      <c r="N33" t="str">
        <f>_xlfn.CONCAT(B33,F33,D33,UPPER(LEFT(J33,3)),RIGHT(A33,3))</f>
        <v>FD08MTGBLA004</v>
      </c>
    </row>
    <row r="34" spans="1:14">
      <c r="A34" t="s">
        <v>175</v>
      </c>
      <c r="B34" t="str">
        <f>LEFT(A34,2)</f>
        <v>FD</v>
      </c>
      <c r="C34" t="str">
        <f>VLOOKUP(B34,B$56:C$61,2)</f>
        <v>Ford</v>
      </c>
      <c r="D34" t="str">
        <f>MID(A34,5,3)</f>
        <v>MTG</v>
      </c>
      <c r="E34" t="str">
        <f>VLOOKUP(D34,D$56:E$66,2)</f>
        <v>Mustang</v>
      </c>
      <c r="F34" t="str">
        <f>MID(A34,3,2)</f>
        <v>08</v>
      </c>
      <c r="G34" s="2">
        <f ca="1">IF((RIGHT(YEAR(TODAY()),2)-F34)&lt;0,(100-F34)+RIGHT(YEAR(TODAY()),2),(RIGHT(YEAR(TODAY()),2)-F34))</f>
        <v>15</v>
      </c>
      <c r="H34" s="44">
        <v>36438.5</v>
      </c>
      <c r="I34" s="44">
        <f ca="1">H34/G34</f>
        <v>2429.2333333333331</v>
      </c>
      <c r="J34" t="s">
        <v>168</v>
      </c>
      <c r="K34" t="s">
        <v>35</v>
      </c>
      <c r="L34">
        <v>50000</v>
      </c>
      <c r="M34" t="str">
        <f>IF(H34&lt;L34,"Y","Not Covered")</f>
        <v>Y</v>
      </c>
      <c r="N34" t="str">
        <f>_xlfn.CONCAT(B34,F34,D34,UPPER(LEFT(J34,3)),RIGHT(A34,3))</f>
        <v>FD08MTGWHI005</v>
      </c>
    </row>
    <row r="35" spans="1:14">
      <c r="A35" t="s">
        <v>229</v>
      </c>
      <c r="B35" t="str">
        <f>LEFT(A35,2)</f>
        <v>HY</v>
      </c>
      <c r="C35" t="str">
        <f>VLOOKUP(B35,B$56:C$61,2)</f>
        <v>Hundai</v>
      </c>
      <c r="D35" t="str">
        <f>MID(A35,5,3)</f>
        <v>ELA</v>
      </c>
      <c r="E35" t="str">
        <f>VLOOKUP(D35,D$56:E$66,2)</f>
        <v>Elantra</v>
      </c>
      <c r="F35" t="str">
        <f>MID(A35,3,2)</f>
        <v>11</v>
      </c>
      <c r="G35" s="2">
        <f ca="1">IF((RIGHT(YEAR(TODAY()),2)-F35)&lt;0,(100-F35)+RIGHT(YEAR(TODAY()),2),(RIGHT(YEAR(TODAY()),2)-F35))</f>
        <v>12</v>
      </c>
      <c r="H35" s="44">
        <v>29102.3</v>
      </c>
      <c r="I35" s="44">
        <f ca="1">H35/G35</f>
        <v>2425.1916666666666</v>
      </c>
      <c r="J35" t="s">
        <v>166</v>
      </c>
      <c r="K35" t="s">
        <v>192</v>
      </c>
      <c r="L35">
        <v>100000</v>
      </c>
      <c r="M35" t="str">
        <f>IF(H35&lt;L35,"Y","Not Covered")</f>
        <v>Y</v>
      </c>
      <c r="N35" t="str">
        <f>_xlfn.CONCAT(B35,F35,D35,UPPER(LEFT(J35,3)),RIGHT(A35,3))</f>
        <v>HY11ELABLA049</v>
      </c>
    </row>
    <row r="36" spans="1:14">
      <c r="A36" t="s">
        <v>193</v>
      </c>
      <c r="B36" t="str">
        <f>LEFT(A36,2)</f>
        <v>GM</v>
      </c>
      <c r="C36" t="str">
        <f>VLOOKUP(B36,B$56:C$61,2)</f>
        <v>General Mortors</v>
      </c>
      <c r="D36" t="str">
        <f>MID(A36,5,3)</f>
        <v>SLV</v>
      </c>
      <c r="E36" t="str">
        <f>VLOOKUP(D36,D$56:E$66,2)</f>
        <v>Silverado</v>
      </c>
      <c r="F36" t="str">
        <f>MID(A36,3,2)</f>
        <v>10</v>
      </c>
      <c r="G36" s="2">
        <f ca="1">IF((RIGHT(YEAR(TODAY()),2)-F36)&lt;0,(100-F36)+RIGHT(YEAR(TODAY()),2),(RIGHT(YEAR(TODAY()),2)-F36))</f>
        <v>13</v>
      </c>
      <c r="H36" s="44">
        <v>31144.400000000001</v>
      </c>
      <c r="I36" s="44">
        <f ca="1">H36/G36</f>
        <v>2395.7230769230769</v>
      </c>
      <c r="J36" t="s">
        <v>166</v>
      </c>
      <c r="K36" t="s">
        <v>194</v>
      </c>
      <c r="L36">
        <v>100000</v>
      </c>
      <c r="M36" t="str">
        <f>IF(H36&lt;L36,"Y","Not Covered")</f>
        <v>Y</v>
      </c>
      <c r="N36" t="str">
        <f>_xlfn.CONCAT(B36,F36,D36,UPPER(LEFT(J36,3)),RIGHT(A36,3))</f>
        <v>GM10SLVBLA017</v>
      </c>
    </row>
    <row r="37" spans="1:14">
      <c r="A37" t="s">
        <v>165</v>
      </c>
      <c r="B37" t="str">
        <f>LEFT(A37,2)</f>
        <v>FD</v>
      </c>
      <c r="C37" t="str">
        <f>VLOOKUP(B37,B$56:C$61,2)</f>
        <v>Ford</v>
      </c>
      <c r="D37" t="str">
        <f>MID(A37,5,3)</f>
        <v>MTG</v>
      </c>
      <c r="E37" t="str">
        <f>VLOOKUP(D37,D$56:E$66,2)</f>
        <v>Mustang</v>
      </c>
      <c r="F37" t="str">
        <f>MID(A37,3,2)</f>
        <v>06</v>
      </c>
      <c r="G37" s="2">
        <f ca="1">IF((RIGHT(YEAR(TODAY()),2)-F37)&lt;0,(100-F37)+RIGHT(YEAR(TODAY()),2),(RIGHT(YEAR(TODAY()),2)-F37))</f>
        <v>17</v>
      </c>
      <c r="H37" s="44">
        <v>40326.800000000003</v>
      </c>
      <c r="I37" s="44">
        <f ca="1">H37/G37</f>
        <v>2372.1647058823532</v>
      </c>
      <c r="J37" t="s">
        <v>166</v>
      </c>
      <c r="K37" t="s">
        <v>35</v>
      </c>
      <c r="L37">
        <v>50000</v>
      </c>
      <c r="M37" t="str">
        <f>IF(H37&lt;L37,"Y","Not Covered")</f>
        <v>Y</v>
      </c>
      <c r="N37" t="str">
        <f>_xlfn.CONCAT(B37,F37,D37,UPPER(LEFT(J37,3)),RIGHT(A37,3))</f>
        <v>FD06MTGBLA001</v>
      </c>
    </row>
    <row r="38" spans="1:14">
      <c r="A38" t="s">
        <v>224</v>
      </c>
      <c r="B38" t="str">
        <f>LEFT(A38,2)</f>
        <v>CR</v>
      </c>
      <c r="C38" t="str">
        <f>VLOOKUP(B38,B$56:C$61,2)</f>
        <v>Chrysler</v>
      </c>
      <c r="D38" t="str">
        <f>MID(A38,5,3)</f>
        <v>PTC</v>
      </c>
      <c r="E38" t="str">
        <f>VLOOKUP(D38,D$56:E$66,2)</f>
        <v>PT Cruiser</v>
      </c>
      <c r="F38" t="str">
        <f>MID(A38,3,2)</f>
        <v>11</v>
      </c>
      <c r="G38" s="2">
        <f ca="1">IF((RIGHT(YEAR(TODAY()),2)-F38)&lt;0,(100-F38)+RIGHT(YEAR(TODAY()),2),(RIGHT(YEAR(TODAY()),2)-F38))</f>
        <v>12</v>
      </c>
      <c r="H38" s="44">
        <v>27394.2</v>
      </c>
      <c r="I38" s="44">
        <f ca="1">H38/G38</f>
        <v>2282.85</v>
      </c>
      <c r="J38" t="s">
        <v>166</v>
      </c>
      <c r="K38" t="s">
        <v>185</v>
      </c>
      <c r="L38">
        <v>75000</v>
      </c>
      <c r="M38" t="str">
        <f>IF(H38&lt;L38,"Y","Not Covered")</f>
        <v>Y</v>
      </c>
      <c r="N38" t="str">
        <f>_xlfn.CONCAT(B38,F38,D38,UPPER(LEFT(J38,3)),RIGHT(A38,3))</f>
        <v>CR11PTCBLA044</v>
      </c>
    </row>
    <row r="39" spans="1:14">
      <c r="A39" t="s">
        <v>184</v>
      </c>
      <c r="B39" t="str">
        <f>LEFT(A39,2)</f>
        <v>FD</v>
      </c>
      <c r="C39" t="str">
        <f>VLOOKUP(B39,B$56:C$61,2)</f>
        <v>Ford</v>
      </c>
      <c r="D39" t="str">
        <f>MID(A39,5,3)</f>
        <v>FCS</v>
      </c>
      <c r="E39" t="str">
        <f>VLOOKUP(D39,D$56:E$66,2)</f>
        <v>Focus</v>
      </c>
      <c r="F39" t="str">
        <f>MID(A39,3,2)</f>
        <v>13</v>
      </c>
      <c r="G39" s="2">
        <f ca="1">IF((RIGHT(YEAR(TODAY()),2)-F39)&lt;0,(100-F39)+RIGHT(YEAR(TODAY()),2),(RIGHT(YEAR(TODAY()),2)-F39))</f>
        <v>10</v>
      </c>
      <c r="H39" s="44">
        <v>22521.599999999999</v>
      </c>
      <c r="I39" s="44">
        <f ca="1">H39/G39</f>
        <v>2252.16</v>
      </c>
      <c r="J39" t="s">
        <v>166</v>
      </c>
      <c r="K39" t="s">
        <v>185</v>
      </c>
      <c r="L39">
        <v>75000</v>
      </c>
      <c r="M39" t="str">
        <f>IF(H39&lt;L39,"Y","Not Covered")</f>
        <v>Y</v>
      </c>
      <c r="N39" t="str">
        <f>_xlfn.CONCAT(B39,F39,D39,UPPER(LEFT(J39,3)),RIGHT(A39,3))</f>
        <v>FD13FCSBLA012</v>
      </c>
    </row>
    <row r="40" spans="1:14">
      <c r="A40" t="s">
        <v>217</v>
      </c>
      <c r="B40" t="str">
        <f>LEFT(A40,2)</f>
        <v>HO</v>
      </c>
      <c r="C40" t="str">
        <f>VLOOKUP(B40,B$56:C$61,2)</f>
        <v>Honda</v>
      </c>
      <c r="D40" t="str">
        <f>MID(A40,5,3)</f>
        <v>CIV</v>
      </c>
      <c r="E40" t="str">
        <f>VLOOKUP(D40,D$56:E$66,2)</f>
        <v>Civic</v>
      </c>
      <c r="F40" t="str">
        <f>MID(A40,3,2)</f>
        <v>12</v>
      </c>
      <c r="G40" s="2">
        <f ca="1">IF((RIGHT(YEAR(TODAY()),2)-F40)&lt;0,(100-F40)+RIGHT(YEAR(TODAY()),2),(RIGHT(YEAR(TODAY()),2)-F40))</f>
        <v>11</v>
      </c>
      <c r="H40" s="44">
        <v>24513.200000000001</v>
      </c>
      <c r="I40" s="44">
        <f ca="1">H40/G40</f>
        <v>2228.4727272727273</v>
      </c>
      <c r="J40" t="s">
        <v>166</v>
      </c>
      <c r="K40" t="s">
        <v>194</v>
      </c>
      <c r="L40">
        <v>75000</v>
      </c>
      <c r="M40" t="str">
        <f>IF(H40&lt;L40,"Y","Not Covered")</f>
        <v>Y</v>
      </c>
      <c r="N40" t="str">
        <f>_xlfn.CONCAT(B40,F40,D40,UPPER(LEFT(J40,3)),RIGHT(A40,3))</f>
        <v>HO12CIVBLA035</v>
      </c>
    </row>
    <row r="41" spans="1:14">
      <c r="A41" t="s">
        <v>232</v>
      </c>
      <c r="B41" t="str">
        <f>LEFT(A41,2)</f>
        <v>HY</v>
      </c>
      <c r="C41" t="str">
        <f>VLOOKUP(B41,B$56:C$61,2)</f>
        <v>Hundai</v>
      </c>
      <c r="D41" t="str">
        <f>MID(A41,5,3)</f>
        <v>ELA</v>
      </c>
      <c r="E41" t="str">
        <f>VLOOKUP(D41,D$56:E$66,2)</f>
        <v>Elantra</v>
      </c>
      <c r="F41" t="str">
        <f>MID(A41,3,2)</f>
        <v>13</v>
      </c>
      <c r="G41" s="2">
        <f ca="1">IF((RIGHT(YEAR(TODAY()),2)-F41)&lt;0,(100-F41)+RIGHT(YEAR(TODAY()),2),(RIGHT(YEAR(TODAY()),2)-F41))</f>
        <v>10</v>
      </c>
      <c r="H41" s="44">
        <v>22188.5</v>
      </c>
      <c r="I41" s="44">
        <f ca="1">H41/G41</f>
        <v>2218.85</v>
      </c>
      <c r="J41" t="s">
        <v>197</v>
      </c>
      <c r="K41" t="s">
        <v>176</v>
      </c>
      <c r="L41">
        <v>100000</v>
      </c>
      <c r="M41" t="str">
        <f>IF(H41&lt;L41,"Y","Not Covered")</f>
        <v>Y</v>
      </c>
      <c r="N41" t="str">
        <f>_xlfn.CONCAT(B41,F41,D41,UPPER(LEFT(J41,3)),RIGHT(A41,3))</f>
        <v>HY13ELABLU052</v>
      </c>
    </row>
    <row r="42" spans="1:14">
      <c r="A42" t="s">
        <v>269</v>
      </c>
      <c r="B42" t="str">
        <f>LEFT(A42,2)</f>
        <v>GM</v>
      </c>
      <c r="C42" t="str">
        <f>VLOOKUP(B42,B$56:C$61,2)</f>
        <v>General Mortors</v>
      </c>
      <c r="D42" t="str">
        <f>MID(A42,5,3)</f>
        <v>CMR</v>
      </c>
      <c r="E42" t="str">
        <f>VLOOKUP(D42,D$56:E$66,2)</f>
        <v>Camero</v>
      </c>
      <c r="F42" t="str">
        <f>MID(A42,3,2)</f>
        <v>09</v>
      </c>
      <c r="G42" s="2">
        <f ca="1">IF((RIGHT(YEAR(TODAY()),2)-F42)&lt;0,(100-F42)+RIGHT(YEAR(TODAY()),2),(RIGHT(YEAR(TODAY()),2)-F42))</f>
        <v>14</v>
      </c>
      <c r="H42" s="44">
        <v>28464.799999999999</v>
      </c>
      <c r="I42" s="44">
        <f ca="1">H42/G42</f>
        <v>2033.2</v>
      </c>
      <c r="J42" t="s">
        <v>168</v>
      </c>
      <c r="K42" t="s">
        <v>188</v>
      </c>
      <c r="L42">
        <v>100000</v>
      </c>
      <c r="M42" t="str">
        <f>IF(H42&lt;L42,"Y","Not Covered")</f>
        <v>Y</v>
      </c>
      <c r="N42" t="str">
        <f>_xlfn.CONCAT(B42,F42,D42,UPPER(LEFT(J42,3)),RIGHT(A42,3))</f>
        <v>GM09CMRWHI014</v>
      </c>
    </row>
    <row r="43" spans="1:14">
      <c r="A43" t="s">
        <v>230</v>
      </c>
      <c r="B43" t="str">
        <f>LEFT(A43,2)</f>
        <v>HY</v>
      </c>
      <c r="C43" t="str">
        <f>VLOOKUP(B43,B$56:C$61,2)</f>
        <v>Hundai</v>
      </c>
      <c r="D43" t="str">
        <f>MID(A43,5,3)</f>
        <v>ELA</v>
      </c>
      <c r="E43" t="str">
        <f>VLOOKUP(D43,D$56:E$66,2)</f>
        <v>Elantra</v>
      </c>
      <c r="F43" t="str">
        <f>MID(A43,3,2)</f>
        <v>12</v>
      </c>
      <c r="G43" s="2">
        <f ca="1">IF((RIGHT(YEAR(TODAY()),2)-F43)&lt;0,(100-F43)+RIGHT(YEAR(TODAY()),2),(RIGHT(YEAR(TODAY()),2)-F43))</f>
        <v>11</v>
      </c>
      <c r="H43" s="44">
        <v>22282</v>
      </c>
      <c r="I43" s="44">
        <f ca="1">H43/G43</f>
        <v>2025.6363636363637</v>
      </c>
      <c r="J43" t="s">
        <v>197</v>
      </c>
      <c r="K43" t="s">
        <v>169</v>
      </c>
      <c r="L43">
        <v>100000</v>
      </c>
      <c r="M43" t="str">
        <f>IF(H43&lt;L43,"Y","Not Covered")</f>
        <v>Y</v>
      </c>
      <c r="N43" t="str">
        <f>_xlfn.CONCAT(B43,F43,D43,UPPER(LEFT(J43,3)),RIGHT(A43,3))</f>
        <v>HY12ELABLU050</v>
      </c>
    </row>
    <row r="44" spans="1:14">
      <c r="A44" t="s">
        <v>231</v>
      </c>
      <c r="B44" t="str">
        <f>LEFT(A44,2)</f>
        <v>HY</v>
      </c>
      <c r="C44" t="str">
        <f>VLOOKUP(B44,B$56:C$61,2)</f>
        <v>Hundai</v>
      </c>
      <c r="D44" t="str">
        <f>MID(A44,5,3)</f>
        <v>ELA</v>
      </c>
      <c r="E44" t="str">
        <f>VLOOKUP(D44,D$56:E$66,2)</f>
        <v>Elantra</v>
      </c>
      <c r="F44" t="str">
        <f>MID(A44,3,2)</f>
        <v>13</v>
      </c>
      <c r="G44" s="2">
        <f ca="1">IF((RIGHT(YEAR(TODAY()),2)-F44)&lt;0,(100-F44)+RIGHT(YEAR(TODAY()),2),(RIGHT(YEAR(TODAY()),2)-F44))</f>
        <v>10</v>
      </c>
      <c r="H44" s="44">
        <v>20223.900000000001</v>
      </c>
      <c r="I44" s="44">
        <f ca="1">H44/G44</f>
        <v>2022.39</v>
      </c>
      <c r="J44" t="s">
        <v>166</v>
      </c>
      <c r="K44" t="s">
        <v>181</v>
      </c>
      <c r="L44">
        <v>100000</v>
      </c>
      <c r="M44" t="str">
        <f>IF(H44&lt;L44,"Y","Not Covered")</f>
        <v>Y</v>
      </c>
      <c r="N44" t="str">
        <f>_xlfn.CONCAT(B44,F44,D44,UPPER(LEFT(J44,3)),RIGHT(A44,3))</f>
        <v>HY13ELABLA051</v>
      </c>
    </row>
    <row r="45" spans="1:14">
      <c r="A45" t="s">
        <v>211</v>
      </c>
      <c r="B45" t="str">
        <f>LEFT(A45,2)</f>
        <v>TY</v>
      </c>
      <c r="C45" t="str">
        <f>VLOOKUP(B45,B$56:C$61,2)</f>
        <v>Toyota</v>
      </c>
      <c r="D45" t="str">
        <f>MID(A45,5,3)</f>
        <v>CAM</v>
      </c>
      <c r="E45" t="str">
        <f>VLOOKUP(D45,D$56:E$66,2)</f>
        <v>Camrey</v>
      </c>
      <c r="F45" t="str">
        <f>MID(A45,3,2)</f>
        <v>12</v>
      </c>
      <c r="G45" s="2">
        <f ca="1">IF((RIGHT(YEAR(TODAY()),2)-F45)&lt;0,(100-F45)+RIGHT(YEAR(TODAY()),2),(RIGHT(YEAR(TODAY()),2)-F45))</f>
        <v>11</v>
      </c>
      <c r="H45" s="44">
        <v>22128.2</v>
      </c>
      <c r="I45" s="44">
        <f ca="1">H45/G45</f>
        <v>2011.6545454545455</v>
      </c>
      <c r="J45" t="s">
        <v>197</v>
      </c>
      <c r="K45" t="s">
        <v>199</v>
      </c>
      <c r="L45">
        <v>100000</v>
      </c>
      <c r="M45" t="str">
        <f>IF(H45&lt;L45,"Y","Not Covered")</f>
        <v>Y</v>
      </c>
      <c r="N45" t="str">
        <f>_xlfn.CONCAT(B45,F45,D45,UPPER(LEFT(J45,3)),RIGHT(A45,3))</f>
        <v>TY12CAMBLU029</v>
      </c>
    </row>
    <row r="46" spans="1:14">
      <c r="A46" t="s">
        <v>209</v>
      </c>
      <c r="B46" t="str">
        <f>LEFT(A46,2)</f>
        <v>TY</v>
      </c>
      <c r="C46" t="str">
        <f>VLOOKUP(B46,B$56:C$61,2)</f>
        <v>Toyota</v>
      </c>
      <c r="D46" t="str">
        <f>MID(A46,5,3)</f>
        <v>COR</v>
      </c>
      <c r="E46" t="str">
        <f>VLOOKUP(D46,D$56:E$66,2)</f>
        <v>Corola</v>
      </c>
      <c r="F46" t="str">
        <f>MID(A46,3,2)</f>
        <v>14</v>
      </c>
      <c r="G46" s="2">
        <f ca="1">IF((RIGHT(YEAR(TODAY()),2)-F46)&lt;0,(100-F46)+RIGHT(YEAR(TODAY()),2),(RIGHT(YEAR(TODAY()),2)-F46))</f>
        <v>9</v>
      </c>
      <c r="H46" s="44">
        <v>17556.3</v>
      </c>
      <c r="I46" s="44">
        <f ca="1">H46/G46</f>
        <v>1950.6999999999998</v>
      </c>
      <c r="J46" t="s">
        <v>197</v>
      </c>
      <c r="K46" t="s">
        <v>181</v>
      </c>
      <c r="L46">
        <v>100000</v>
      </c>
      <c r="M46" t="str">
        <f>IF(H46&lt;L46,"Y","Not Covered")</f>
        <v>Y</v>
      </c>
      <c r="N46" t="str">
        <f>_xlfn.CONCAT(B46,F46,D46,UPPER(LEFT(J46,3)),RIGHT(A46,3))</f>
        <v>TY14CORBLU027</v>
      </c>
    </row>
    <row r="47" spans="1:14">
      <c r="A47" t="s">
        <v>189</v>
      </c>
      <c r="B47" t="str">
        <f>LEFT(A47,2)</f>
        <v>GM</v>
      </c>
      <c r="C47" t="str">
        <f>VLOOKUP(B47,B$56:C$61,2)</f>
        <v>General Mortors</v>
      </c>
      <c r="D47" t="str">
        <f>MID(A47,5,3)</f>
        <v>CMR</v>
      </c>
      <c r="E47" t="str">
        <f>VLOOKUP(D47,D$56:E$66,2)</f>
        <v>Camero</v>
      </c>
      <c r="F47" t="str">
        <f>MID(A47,3,2)</f>
        <v>12</v>
      </c>
      <c r="G47" s="2">
        <f ca="1">IF((RIGHT(YEAR(TODAY()),2)-F47)&lt;0,(100-F47)+RIGHT(YEAR(TODAY()),2),(RIGHT(YEAR(TODAY()),2)-F47))</f>
        <v>11</v>
      </c>
      <c r="H47" s="44">
        <v>19421.099999999999</v>
      </c>
      <c r="I47" s="44">
        <f ca="1">H47/G47</f>
        <v>1765.5545454545454</v>
      </c>
      <c r="J47" t="s">
        <v>166</v>
      </c>
      <c r="K47" t="s">
        <v>190</v>
      </c>
      <c r="L47">
        <v>100000</v>
      </c>
      <c r="M47" t="str">
        <f>IF(H47&lt;L47,"Y","Not Covered")</f>
        <v>Y</v>
      </c>
      <c r="N47" t="str">
        <f>_xlfn.CONCAT(B47,F47,D47,UPPER(LEFT(J47,3)),RIGHT(A47,3))</f>
        <v>GM12CMRBLA015</v>
      </c>
    </row>
    <row r="48" spans="1:14">
      <c r="A48" t="s">
        <v>182</v>
      </c>
      <c r="B48" t="str">
        <f>LEFT(A48,2)</f>
        <v>FD</v>
      </c>
      <c r="C48" t="str">
        <f>VLOOKUP(B48,B$56:C$61,2)</f>
        <v>Ford</v>
      </c>
      <c r="D48" t="str">
        <f>MID(A48,5,3)</f>
        <v>FCS</v>
      </c>
      <c r="E48" t="str">
        <f>VLOOKUP(D48,D$56:E$66,2)</f>
        <v>Focus</v>
      </c>
      <c r="F48" t="str">
        <f>MID(A48,3,2)</f>
        <v>12</v>
      </c>
      <c r="G48" s="2">
        <f ca="1">IF((RIGHT(YEAR(TODAY()),2)-F48)&lt;0,(100-F48)+RIGHT(YEAR(TODAY()),2),(RIGHT(YEAR(TODAY()),2)-F48))</f>
        <v>11</v>
      </c>
      <c r="H48" s="44">
        <v>19341.7</v>
      </c>
      <c r="I48" s="44">
        <f ca="1">H48/G48</f>
        <v>1758.3363636363638</v>
      </c>
      <c r="J48" t="s">
        <v>168</v>
      </c>
      <c r="K48" t="s">
        <v>183</v>
      </c>
      <c r="L48">
        <v>75000</v>
      </c>
      <c r="M48" t="str">
        <f>IF(H48&lt;L48,"Y","Not Covered")</f>
        <v>Y</v>
      </c>
      <c r="N48" t="str">
        <f>_xlfn.CONCAT(B48,F48,D48,UPPER(LEFT(J48,3)),RIGHT(A48,3))</f>
        <v>FD12FCSWHI011</v>
      </c>
    </row>
    <row r="49" spans="1:14">
      <c r="A49" t="s">
        <v>214</v>
      </c>
      <c r="B49" t="str">
        <f>LEFT(A49,2)</f>
        <v>HO</v>
      </c>
      <c r="C49" t="str">
        <f>VLOOKUP(B49,B$56:C$61,2)</f>
        <v>Honda</v>
      </c>
      <c r="D49" t="str">
        <f>MID(A49,5,3)</f>
        <v>CIV</v>
      </c>
      <c r="E49" t="str">
        <f>VLOOKUP(D49,D$56:E$66,2)</f>
        <v>Civic</v>
      </c>
      <c r="F49" t="str">
        <f>MID(A49,3,2)</f>
        <v>10</v>
      </c>
      <c r="G49" s="2">
        <f ca="1">IF((RIGHT(YEAR(TODAY()),2)-F49)&lt;0,(100-F49)+RIGHT(YEAR(TODAY()),2),(RIGHT(YEAR(TODAY()),2)-F49))</f>
        <v>13</v>
      </c>
      <c r="H49" s="44">
        <v>22573</v>
      </c>
      <c r="I49" s="44">
        <f ca="1">H49/G49</f>
        <v>1736.3846153846155</v>
      </c>
      <c r="J49" t="s">
        <v>197</v>
      </c>
      <c r="K49" t="s">
        <v>192</v>
      </c>
      <c r="L49">
        <v>75000</v>
      </c>
      <c r="M49" t="str">
        <f>IF(H49&lt;L49,"Y","Not Covered")</f>
        <v>Y</v>
      </c>
      <c r="N49" t="str">
        <f>_xlfn.CONCAT(B49,F49,D49,UPPER(LEFT(J49,3)),RIGHT(A49,3))</f>
        <v>HO10CIVBLU032</v>
      </c>
    </row>
    <row r="50" spans="1:14">
      <c r="A50" t="s">
        <v>191</v>
      </c>
      <c r="B50" t="str">
        <f>LEFT(A50,2)</f>
        <v>GM</v>
      </c>
      <c r="C50" t="str">
        <f>VLOOKUP(B50,B$56:C$61,2)</f>
        <v>General Mortors</v>
      </c>
      <c r="D50" t="str">
        <f>MID(A50,5,3)</f>
        <v>CMR</v>
      </c>
      <c r="E50" t="str">
        <f>VLOOKUP(D50,D$56:E$66,2)</f>
        <v>Camero</v>
      </c>
      <c r="F50" t="str">
        <f>MID(A50,3,2)</f>
        <v>14</v>
      </c>
      <c r="G50" s="2">
        <f ca="1">IF((RIGHT(YEAR(TODAY()),2)-F50)&lt;0,(100-F50)+RIGHT(YEAR(TODAY()),2),(RIGHT(YEAR(TODAY()),2)-F50))</f>
        <v>9</v>
      </c>
      <c r="H50" s="44">
        <v>14289.6</v>
      </c>
      <c r="I50" s="44">
        <f ca="1">H50/G50</f>
        <v>1587.7333333333333</v>
      </c>
      <c r="J50" t="s">
        <v>168</v>
      </c>
      <c r="K50" t="s">
        <v>192</v>
      </c>
      <c r="L50">
        <v>100000</v>
      </c>
      <c r="M50" t="str">
        <f>IF(H50&lt;L50,"Y","Not Covered")</f>
        <v>Y</v>
      </c>
      <c r="N50" t="str">
        <f>_xlfn.CONCAT(B50,F50,D50,UPPER(LEFT(J50,3)),RIGHT(A50,3))</f>
        <v>GM14CMRWHI016</v>
      </c>
    </row>
    <row r="51" spans="1:14">
      <c r="A51" t="s">
        <v>218</v>
      </c>
      <c r="B51" t="str">
        <f>LEFT(A51,2)</f>
        <v>HO</v>
      </c>
      <c r="C51" t="str">
        <f>VLOOKUP(B51,B$56:C$61,2)</f>
        <v>Honda</v>
      </c>
      <c r="D51" t="str">
        <f>MID(A51,5,3)</f>
        <v>CIV</v>
      </c>
      <c r="E51" t="str">
        <f>VLOOKUP(D51,D$56:E$66,2)</f>
        <v>Civic</v>
      </c>
      <c r="F51" t="str">
        <f>MID(A51,3,2)</f>
        <v>13</v>
      </c>
      <c r="G51" s="2">
        <f ca="1">IF((RIGHT(YEAR(TODAY()),2)-F51)&lt;0,(100-F51)+RIGHT(YEAR(TODAY()),2),(RIGHT(YEAR(TODAY()),2)-F51))</f>
        <v>10</v>
      </c>
      <c r="H51" s="44">
        <v>13867.6</v>
      </c>
      <c r="I51" s="44">
        <f ca="1">H51/G51</f>
        <v>1386.76</v>
      </c>
      <c r="J51" t="s">
        <v>166</v>
      </c>
      <c r="K51" t="s">
        <v>199</v>
      </c>
      <c r="L51">
        <v>75000</v>
      </c>
      <c r="M51" t="str">
        <f>IF(H51&lt;L51,"Y","Not Covered")</f>
        <v>Y</v>
      </c>
      <c r="N51" t="str">
        <f>_xlfn.CONCAT(B51,F51,D51,UPPER(LEFT(J51,3)),RIGHT(A51,3))</f>
        <v>HO13CIVBLA036</v>
      </c>
    </row>
    <row r="52" spans="1:14">
      <c r="A52" t="s">
        <v>186</v>
      </c>
      <c r="B52" t="str">
        <f>LEFT(A52,2)</f>
        <v>FD</v>
      </c>
      <c r="C52" t="str">
        <f>VLOOKUP(B52,B$56:C$61,2)</f>
        <v>Ford</v>
      </c>
      <c r="D52" t="str">
        <f>MID(A52,5,3)</f>
        <v>FCS</v>
      </c>
      <c r="E52" t="str">
        <f>VLOOKUP(D52,D$56:E$66,2)</f>
        <v>Focus</v>
      </c>
      <c r="F52" t="str">
        <f>MID(A52,3,2)</f>
        <v>13</v>
      </c>
      <c r="G52" s="2">
        <f ca="1">IF((RIGHT(YEAR(TODAY()),2)-F52)&lt;0,(100-F52)+RIGHT(YEAR(TODAY()),2),(RIGHT(YEAR(TODAY()),2)-F52))</f>
        <v>10</v>
      </c>
      <c r="H52" s="44">
        <v>13682.9</v>
      </c>
      <c r="I52" s="44">
        <f ca="1">H52/G52</f>
        <v>1368.29</v>
      </c>
      <c r="J52" t="s">
        <v>166</v>
      </c>
      <c r="K52" t="s">
        <v>187</v>
      </c>
      <c r="L52">
        <v>75000</v>
      </c>
      <c r="M52" t="str">
        <f>IF(H52&lt;L52,"Y","Not Covered")</f>
        <v>Y</v>
      </c>
      <c r="N52" t="str">
        <f>_xlfn.CONCAT(B52,F52,D52,UPPER(LEFT(J52,3)),RIGHT(A52,3))</f>
        <v>FD13FCSBLA013</v>
      </c>
    </row>
    <row r="53" spans="1:14">
      <c r="A53" t="s">
        <v>221</v>
      </c>
      <c r="B53" t="str">
        <f>LEFT(A53,2)</f>
        <v>HO</v>
      </c>
      <c r="C53" t="str">
        <f>VLOOKUP(B53,B$56:C$61,2)</f>
        <v>Honda</v>
      </c>
      <c r="D53" t="str">
        <f>MID(A53,5,3)</f>
        <v>ODY</v>
      </c>
      <c r="E53" t="str">
        <f>VLOOKUP(D53,D$56:E$66,2)</f>
        <v>Odyssey</v>
      </c>
      <c r="F53" t="str">
        <f>MID(A53,3,2)</f>
        <v>14</v>
      </c>
      <c r="G53" s="2">
        <f ca="1">IF((RIGHT(YEAR(TODAY()),2)-F53)&lt;0,(100-F53)+RIGHT(YEAR(TODAY()),2),(RIGHT(YEAR(TODAY()),2)-F53))</f>
        <v>9</v>
      </c>
      <c r="H53" s="44">
        <v>3708.1</v>
      </c>
      <c r="I53" s="44">
        <f ca="1">H53/G53</f>
        <v>412.01111111111112</v>
      </c>
      <c r="J53" t="s">
        <v>166</v>
      </c>
      <c r="K53" t="s">
        <v>169</v>
      </c>
      <c r="L53">
        <v>100000</v>
      </c>
      <c r="M53" t="str">
        <f>IF(H53&lt;L53,"Y","Not Covered")</f>
        <v>Y</v>
      </c>
      <c r="N53" t="str">
        <f>_xlfn.CONCAT(B53,F53,D53,UPPER(LEFT(J53,3)),RIGHT(A53,3))</f>
        <v>HO14ODYBLA041</v>
      </c>
    </row>
    <row r="56" spans="1:14">
      <c r="B56" t="s">
        <v>233</v>
      </c>
      <c r="C56" t="s">
        <v>239</v>
      </c>
      <c r="D56" t="s">
        <v>245</v>
      </c>
      <c r="E56" t="s">
        <v>246</v>
      </c>
    </row>
    <row r="57" spans="1:14">
      <c r="B57" t="s">
        <v>238</v>
      </c>
      <c r="C57" t="s">
        <v>244</v>
      </c>
      <c r="D57" t="s">
        <v>255</v>
      </c>
      <c r="E57" t="s">
        <v>256</v>
      </c>
    </row>
    <row r="58" spans="1:14">
      <c r="B58" t="s">
        <v>237</v>
      </c>
      <c r="C58" t="s">
        <v>243</v>
      </c>
      <c r="D58" t="s">
        <v>257</v>
      </c>
      <c r="E58" t="s">
        <v>258</v>
      </c>
    </row>
    <row r="59" spans="1:14">
      <c r="B59" t="s">
        <v>236</v>
      </c>
      <c r="C59" t="s">
        <v>242</v>
      </c>
      <c r="D59" t="s">
        <v>251</v>
      </c>
      <c r="E59" t="s">
        <v>252</v>
      </c>
    </row>
    <row r="60" spans="1:14">
      <c r="B60" t="s">
        <v>234</v>
      </c>
      <c r="C60" t="s">
        <v>240</v>
      </c>
      <c r="D60" t="s">
        <v>253</v>
      </c>
      <c r="E60" t="s">
        <v>254</v>
      </c>
    </row>
    <row r="61" spans="1:14">
      <c r="B61" t="s">
        <v>235</v>
      </c>
      <c r="C61" t="s">
        <v>241</v>
      </c>
      <c r="D61" t="s">
        <v>247</v>
      </c>
      <c r="E61" t="s">
        <v>248</v>
      </c>
    </row>
    <row r="62" spans="1:14">
      <c r="D62" t="s">
        <v>249</v>
      </c>
      <c r="E62" t="s">
        <v>250</v>
      </c>
    </row>
    <row r="63" spans="1:14">
      <c r="D63" t="s">
        <v>259</v>
      </c>
      <c r="E63" t="s">
        <v>260</v>
      </c>
    </row>
    <row r="64" spans="1:14">
      <c r="D64" t="s">
        <v>261</v>
      </c>
      <c r="E64" t="s">
        <v>262</v>
      </c>
    </row>
    <row r="65" spans="4:5">
      <c r="D65" t="s">
        <v>263</v>
      </c>
      <c r="E65" t="s">
        <v>264</v>
      </c>
    </row>
    <row r="66" spans="4:5">
      <c r="D66" t="s">
        <v>265</v>
      </c>
      <c r="E66" t="s">
        <v>266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FE0C-9F35-4981-9392-D22556EE5041}">
  <dimension ref="A3:B21"/>
  <sheetViews>
    <sheetView workbookViewId="0">
      <selection activeCell="L15" sqref="L15"/>
    </sheetView>
  </sheetViews>
  <sheetFormatPr defaultRowHeight="14.5"/>
  <cols>
    <col min="1" max="1" width="12.36328125" bestFit="1" customWidth="1"/>
    <col min="2" max="2" width="11.54296875" bestFit="1" customWidth="1"/>
  </cols>
  <sheetData>
    <row r="3" spans="1:2">
      <c r="A3" s="40" t="s">
        <v>148</v>
      </c>
      <c r="B3" t="s">
        <v>278</v>
      </c>
    </row>
    <row r="4" spans="1:2">
      <c r="A4" s="41" t="s">
        <v>190</v>
      </c>
      <c r="B4" s="2">
        <v>144647.69999999998</v>
      </c>
    </row>
    <row r="5" spans="1:2">
      <c r="A5" s="41" t="s">
        <v>199</v>
      </c>
      <c r="B5" s="2">
        <v>150656.40000000002</v>
      </c>
    </row>
    <row r="6" spans="1:2">
      <c r="A6" s="41" t="s">
        <v>176</v>
      </c>
      <c r="B6" s="2">
        <v>154427.9</v>
      </c>
    </row>
    <row r="7" spans="1:2">
      <c r="A7" s="41" t="s">
        <v>207</v>
      </c>
      <c r="B7" s="2">
        <v>179986</v>
      </c>
    </row>
    <row r="8" spans="1:2">
      <c r="A8" s="41" t="s">
        <v>29</v>
      </c>
      <c r="B8" s="2">
        <v>143640.70000000001</v>
      </c>
    </row>
    <row r="9" spans="1:2">
      <c r="A9" s="41" t="s">
        <v>194</v>
      </c>
      <c r="B9" s="2">
        <v>135078.20000000001</v>
      </c>
    </row>
    <row r="10" spans="1:2">
      <c r="A10" s="41" t="s">
        <v>174</v>
      </c>
      <c r="B10" s="2">
        <v>184693.8</v>
      </c>
    </row>
    <row r="11" spans="1:2">
      <c r="A11" s="41" t="s">
        <v>172</v>
      </c>
      <c r="B11" s="2">
        <v>127731.3</v>
      </c>
    </row>
    <row r="12" spans="1:2">
      <c r="A12" s="41" t="s">
        <v>169</v>
      </c>
      <c r="B12" s="2">
        <v>70964.899999999994</v>
      </c>
    </row>
    <row r="13" spans="1:2">
      <c r="A13" s="41" t="s">
        <v>181</v>
      </c>
      <c r="B13" s="2">
        <v>65315</v>
      </c>
    </row>
    <row r="14" spans="1:2">
      <c r="A14" s="41" t="s">
        <v>187</v>
      </c>
      <c r="B14" s="2">
        <v>138561.5</v>
      </c>
    </row>
    <row r="15" spans="1:2">
      <c r="A15" s="41" t="s">
        <v>188</v>
      </c>
      <c r="B15" s="2">
        <v>141229.4</v>
      </c>
    </row>
    <row r="16" spans="1:2">
      <c r="A16" s="41" t="s">
        <v>35</v>
      </c>
      <c r="B16" s="2">
        <v>305432.40000000002</v>
      </c>
    </row>
    <row r="17" spans="1:2">
      <c r="A17" s="41" t="s">
        <v>201</v>
      </c>
      <c r="B17" s="2">
        <v>177713.9</v>
      </c>
    </row>
    <row r="18" spans="1:2">
      <c r="A18" s="41" t="s">
        <v>192</v>
      </c>
      <c r="B18" s="2">
        <v>65964.899999999994</v>
      </c>
    </row>
    <row r="19" spans="1:2">
      <c r="A19" s="41" t="s">
        <v>185</v>
      </c>
      <c r="B19" s="2">
        <v>130601.59999999999</v>
      </c>
    </row>
    <row r="20" spans="1:2">
      <c r="A20" s="41" t="s">
        <v>183</v>
      </c>
      <c r="B20" s="2">
        <v>19341.7</v>
      </c>
    </row>
    <row r="21" spans="1:2">
      <c r="A21" s="41" t="s">
        <v>149</v>
      </c>
      <c r="B21" s="2">
        <v>2335987.2999999998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121E-2189-4EBE-B799-0011A9C9BFEA}">
  <dimension ref="A1:G5"/>
  <sheetViews>
    <sheetView tabSelected="1" workbookViewId="0">
      <selection activeCell="J15" sqref="J15"/>
    </sheetView>
  </sheetViews>
  <sheetFormatPr defaultRowHeight="14.5"/>
  <cols>
    <col min="2" max="2" width="10.90625" bestFit="1" customWidth="1"/>
    <col min="3" max="3" width="11.453125" bestFit="1" customWidth="1"/>
    <col min="5" max="5" width="11.26953125" bestFit="1" customWidth="1"/>
    <col min="6" max="6" width="13.54296875" bestFit="1" customWidth="1"/>
    <col min="7" max="7" width="16.453125" bestFit="1" customWidth="1"/>
  </cols>
  <sheetData>
    <row r="1" spans="1:7">
      <c r="B1" t="s">
        <v>283</v>
      </c>
      <c r="C1" t="s">
        <v>284</v>
      </c>
      <c r="D1" t="s">
        <v>285</v>
      </c>
      <c r="E1" t="s">
        <v>286</v>
      </c>
      <c r="F1" t="s">
        <v>292</v>
      </c>
      <c r="G1" t="s">
        <v>287</v>
      </c>
    </row>
    <row r="2" spans="1:7">
      <c r="A2" t="s">
        <v>288</v>
      </c>
      <c r="B2" s="5">
        <v>20000</v>
      </c>
      <c r="C2" s="45">
        <v>0.09</v>
      </c>
      <c r="D2">
        <v>12</v>
      </c>
      <c r="E2" s="5">
        <f>B2*C2</f>
        <v>1800</v>
      </c>
      <c r="F2" s="5">
        <f>B2+E2</f>
        <v>21800</v>
      </c>
      <c r="G2" s="5">
        <f>F2/D2</f>
        <v>1816.6666666666667</v>
      </c>
    </row>
    <row r="3" spans="1:7">
      <c r="A3" t="s">
        <v>289</v>
      </c>
      <c r="B3" s="5">
        <v>20000</v>
      </c>
      <c r="C3" s="45">
        <v>0.08</v>
      </c>
      <c r="D3">
        <v>12</v>
      </c>
      <c r="E3" s="5">
        <f t="shared" ref="E3:E5" si="0">B3*C3</f>
        <v>1600</v>
      </c>
      <c r="F3" s="5">
        <f t="shared" ref="F3:F5" si="1">B3+E3</f>
        <v>21600</v>
      </c>
      <c r="G3" s="5">
        <f t="shared" ref="G3:G5" si="2">F3/D3</f>
        <v>1800</v>
      </c>
    </row>
    <row r="4" spans="1:7">
      <c r="A4" t="s">
        <v>290</v>
      </c>
      <c r="B4" s="5">
        <v>20000</v>
      </c>
      <c r="C4" s="45">
        <v>7.0000000000000007E-2</v>
      </c>
      <c r="D4">
        <v>12</v>
      </c>
      <c r="E4" s="5">
        <f t="shared" si="0"/>
        <v>1400.0000000000002</v>
      </c>
      <c r="F4" s="5">
        <f t="shared" si="1"/>
        <v>21400</v>
      </c>
      <c r="G4" s="5">
        <f t="shared" si="2"/>
        <v>1783.3333333333333</v>
      </c>
    </row>
    <row r="5" spans="1:7">
      <c r="A5" t="s">
        <v>291</v>
      </c>
      <c r="B5" s="5">
        <v>20000</v>
      </c>
      <c r="C5" s="45">
        <v>0.06</v>
      </c>
      <c r="D5">
        <v>12</v>
      </c>
      <c r="E5" s="5">
        <f t="shared" si="0"/>
        <v>1200</v>
      </c>
      <c r="F5" s="5">
        <f t="shared" si="1"/>
        <v>21200</v>
      </c>
      <c r="G5" s="5">
        <f t="shared" si="2"/>
        <v>1766.6666666666667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Agenda</vt:lpstr>
      <vt:lpstr>P1_Payroll</vt:lpstr>
      <vt:lpstr>P1_Payroll (2)</vt:lpstr>
      <vt:lpstr>P1_Payroll (3)</vt:lpstr>
      <vt:lpstr>P2_Gradebook</vt:lpstr>
      <vt:lpstr>P3_Decision Factors</vt:lpstr>
      <vt:lpstr>P4_Sales Report</vt:lpstr>
      <vt:lpstr>P4_Pivot table</vt:lpstr>
      <vt:lpstr>P5_Car Inventory</vt:lpstr>
      <vt:lpstr>P5_Pivot table</vt:lpstr>
      <vt:lpstr>Prob_solving1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pandey</dc:creator>
  <cp:lastModifiedBy>Surabhi Pandey</cp:lastModifiedBy>
  <dcterms:created xsi:type="dcterms:W3CDTF">2023-11-29T10:03:44Z</dcterms:created>
  <dcterms:modified xsi:type="dcterms:W3CDTF">2023-11-30T08:43:11Z</dcterms:modified>
</cp:coreProperties>
</file>